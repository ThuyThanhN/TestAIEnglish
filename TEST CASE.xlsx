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est\TestAIEnglish\"/>
    </mc:Choice>
  </mc:AlternateContent>
  <xr:revisionPtr revIDLastSave="0" documentId="13_ncr:1_{683173ED-6F26-4F62-AD2A-BD6FC6C3E1AD}" xr6:coauthVersionLast="47" xr6:coauthVersionMax="47" xr10:uidLastSave="{00000000-0000-0000-0000-000000000000}"/>
  <bookViews>
    <workbookView xWindow="-120" yWindow="-120" windowWidth="20730" windowHeight="11160" tabRatio="500" firstSheet="1" activeTab="1" xr2:uid="{00000000-000D-0000-FFFF-FFFF00000000}"/>
  </bookViews>
  <sheets>
    <sheet name="Test Case List" sheetId="1" r:id="rId1"/>
    <sheet name="Test Design" sheetId="2" r:id="rId2"/>
    <sheet name="Text Input" sheetId="3" r:id="rId3"/>
    <sheet name="Grammar Check" sheetId="4" r:id="rId4"/>
    <sheet name="AI Rewrite" sheetId="5" r:id="rId5"/>
    <sheet name="Vocab Lookup" sheetId="6" r:id="rId6"/>
    <sheet name="Test Report" sheetId="7" r:id="rId7"/>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12" i="7" l="1"/>
  <c r="B13" i="7" s="1"/>
  <c r="B14" i="7" s="1"/>
  <c r="F6" i="6"/>
  <c r="I14" i="7" s="1"/>
  <c r="E6" i="6"/>
  <c r="H14" i="7" s="1"/>
  <c r="D6" i="6"/>
  <c r="G14" i="7" s="1"/>
  <c r="C6" i="6"/>
  <c r="F14" i="7" s="1"/>
  <c r="B6" i="6"/>
  <c r="E14" i="7" s="1"/>
  <c r="A6" i="6"/>
  <c r="D14" i="7" s="1"/>
  <c r="F6" i="5"/>
  <c r="I13" i="7" s="1"/>
  <c r="E6" i="5"/>
  <c r="H13" i="7" s="1"/>
  <c r="D6" i="5"/>
  <c r="G13" i="7" s="1"/>
  <c r="C6" i="5"/>
  <c r="F13" i="7" s="1"/>
  <c r="B6" i="5"/>
  <c r="E13" i="7" s="1"/>
  <c r="A6" i="5"/>
  <c r="D13" i="7" s="1"/>
  <c r="F6" i="4"/>
  <c r="I12" i="7" s="1"/>
  <c r="E6" i="4"/>
  <c r="H12" i="7" s="1"/>
  <c r="D6" i="4"/>
  <c r="G12" i="7" s="1"/>
  <c r="C6" i="4"/>
  <c r="F12" i="7" s="1"/>
  <c r="B6" i="4"/>
  <c r="E12" i="7" s="1"/>
  <c r="A6" i="4"/>
  <c r="D12" i="7" s="1"/>
  <c r="F6" i="3"/>
  <c r="I11" i="7" s="1"/>
  <c r="E6" i="3"/>
  <c r="H11" i="7" s="1"/>
  <c r="D6" i="3"/>
  <c r="G11" i="7" s="1"/>
  <c r="C6" i="3"/>
  <c r="F11" i="7" s="1"/>
  <c r="F15" i="7" s="1"/>
  <c r="B6" i="3"/>
  <c r="E11" i="7" s="1"/>
  <c r="E15" i="7" s="1"/>
  <c r="A6" i="3"/>
  <c r="D11" i="7" s="1"/>
  <c r="D11" i="1"/>
  <c r="D10" i="1"/>
  <c r="B10" i="1"/>
  <c r="B11" i="1" s="1"/>
  <c r="D9" i="1"/>
  <c r="B9" i="1"/>
  <c r="D8" i="1"/>
  <c r="I15" i="7" l="1"/>
  <c r="G15" i="7"/>
  <c r="D15" i="7"/>
  <c r="H15" i="7"/>
  <c r="D20" i="7" l="1"/>
  <c r="D19" i="7"/>
</calcChain>
</file>

<file path=xl/sharedStrings.xml><?xml version="1.0" encoding="utf-8"?>
<sst xmlns="http://schemas.openxmlformats.org/spreadsheetml/2006/main" count="1269" uniqueCount="587">
  <si>
    <t>TEST CASE LIST</t>
  </si>
  <si>
    <t>Project Name</t>
  </si>
  <si>
    <t>AI-Based English Grammar and Writing Improvement Tool</t>
  </si>
  <si>
    <t>Project Code</t>
  </si>
  <si>
    <t>Test Environment Setup Description</t>
  </si>
  <si>
    <t>1. Google Chrome
2. Backend Flask, AI-service FastAPI 
3. Groq API và Free Dictionary API</t>
  </si>
  <si>
    <t>No</t>
  </si>
  <si>
    <t>Function Name</t>
  </si>
  <si>
    <t>Sheet Name</t>
  </si>
  <si>
    <t>Description</t>
  </si>
  <si>
    <t>Pre-Condition</t>
  </si>
  <si>
    <t>Nhập văn bản đầu vào</t>
  </si>
  <si>
    <t>Nhập, dán, nhập tệp, Sample Text, Clear All và giao diện nhập liệu</t>
  </si>
  <si>
    <t>Kiểm tra ngữ pháp</t>
  </si>
  <si>
    <t>Phát hiện và sửa lỗi ngữ pháp tiếng Anh, hiển thị kết quả phân tích</t>
  </si>
  <si>
    <t>Gợi ý viết lại bằng AI</t>
  </si>
  <si>
    <t>Viết lại văn bản bằng AI (Groq), hiển thị cải tiến và tóm tắt</t>
  </si>
  <si>
    <t>Tra cứu từ vựng</t>
  </si>
  <si>
    <t>Tra từ, cụm từ, thành ngữ qua popup và cách dùng bằng AI</t>
  </si>
  <si>
    <t>Requirement Level 1</t>
  </si>
  <si>
    <t>Requirement Level 2</t>
  </si>
  <si>
    <t>Requirement Level 3</t>
  </si>
  <si>
    <t>Test Criteria</t>
  </si>
  <si>
    <t>Test Type</t>
  </si>
  <si>
    <t>Note</t>
  </si>
  <si>
    <t>Text Input</t>
  </si>
  <si>
    <t>Kiểm tra nhập văn bản dữ liệu đầu vào</t>
  </si>
  <si>
    <t>Nhập văn bản</t>
  </si>
  <si>
    <t>Kiểm tra nhập câu tiếng Anh hợp lệ</t>
  </si>
  <si>
    <t>Function</t>
  </si>
  <si>
    <t>Kiểm tra khi để trống ô nhập</t>
  </si>
  <si>
    <t>Kiểm tra nhập văn bản có nhiều khoảng trắng giữa các từ</t>
  </si>
  <si>
    <t>Kiểm tra nhập câu tiếng Việt có dấu</t>
  </si>
  <si>
    <t>Kiểm tra nhập câu chứa ký tự đặc biệt</t>
  </si>
  <si>
    <t>Kiểm tra xuống dòng bằng phím Enter</t>
  </si>
  <si>
    <t>Kiểm tra nhập văn bản dài đúng 2000 ký tự (bằng giới hạn)</t>
  </si>
  <si>
    <t>Kiểm tra nhập văn bản dài 2001 ký tự (vượt giới hạn)</t>
  </si>
  <si>
    <t>Paste</t>
  </si>
  <si>
    <t>Kiểm tra dán một câu hợp lệ từ clipboard</t>
  </si>
  <si>
    <t>Kiểm tra dán văn bản gồm nhiều đoạn</t>
  </si>
  <si>
    <t>Kiểm tra dán văn bản trộn emoji và ký tự Unicode</t>
  </si>
  <si>
    <t>Kiểm tra dán khi ô nhập đã có sẵn nội dung</t>
  </si>
  <si>
    <t>Kiểm tra dán văn bản vượt quá 2000 ký tự</t>
  </si>
  <si>
    <t>Sample Text</t>
  </si>
  <si>
    <t>Kiểm tra nhấn Sample Text khi ô nhập đang trống</t>
  </si>
  <si>
    <t>Kiểm tra nhấn Sample Text khi ô nhập đã có chữ</t>
  </si>
  <si>
    <t>Kiểm tra nhấn Sample Text liên tục nhiều lần</t>
  </si>
  <si>
    <t>Clear All</t>
  </si>
  <si>
    <t>Kiểm tra nhấn Clear All khi ô nhập đang có chữ</t>
  </si>
  <si>
    <t>Kiểm tra nhấn Clear All khi ô nhập đang trống</t>
  </si>
  <si>
    <t>Kiểm tra nhấn Clear All sau khi dùng Sample Text</t>
  </si>
  <si>
    <t>Import</t>
  </si>
  <si>
    <t>Kiểm tra nhập tệp văn bản hợp lệ</t>
  </si>
  <si>
    <t>Kiểm tra nhập tệp có nhiều đoạn và xuống dòng</t>
  </si>
  <si>
    <t>Kiểm tra nhập tệp có chứa tiếng Việt có dấu và ký tự Unicode</t>
  </si>
  <si>
    <t>Kiểm tra nhập tệp có định dạng không được hỗ trợ</t>
  </si>
  <si>
    <t>Kiểm tra nhập tệp rỗng</t>
  </si>
  <si>
    <t>Kiểm tra nhập tệp có nội dung vượt giới hạn ký tự</t>
  </si>
  <si>
    <t>Kiểm tra nhập tệp khi ô nhập đã có sẵn nội dung</t>
  </si>
  <si>
    <t>Kiểm tra hủy thao tác chọn tệp</t>
  </si>
  <si>
    <t>Kiểm tra nhập liên tiếp hai tệp khác nhau</t>
  </si>
  <si>
    <t>Kiểm tra kiểm tra ngữ pháp với nội dung đã nhập từ tệp</t>
  </si>
  <si>
    <t>Kiểm tra chỉnh sửa nội dung sau khi nhập tệp</t>
  </si>
  <si>
    <t>Giao diện</t>
  </si>
  <si>
    <t>Kiểm tra hiển thị các thành phần Import File</t>
  </si>
  <si>
    <t>Kiểm tra giao diện Import File trên màn hình nhỏ</t>
  </si>
  <si>
    <t>Kiểm tra bố cục giao diện trên màn hình rộng 768px</t>
  </si>
  <si>
    <t>Kiểm tra giao diện trên màn hình điện thoại</t>
  </si>
  <si>
    <t>Kiểm tra hiển thị các nút chức năng và bộ đếm từ trên trang</t>
  </si>
  <si>
    <t>Kiểm tra bộ đếm từ cập nhật theo nội dung khi nhập và xóa</t>
  </si>
  <si>
    <t>Kiểm tra hiển thị văn bản dài trong ô nhập</t>
  </si>
  <si>
    <t>Grammar Check</t>
  </si>
  <si>
    <t>Kiểm tra ngữ pháp sửa lỗi tiếng Anh</t>
  </si>
  <si>
    <t>Ngữ pháp sửa lỗi tiếng Anh</t>
  </si>
  <si>
    <t>Kiểm tra câu đúng ngữ pháp</t>
  </si>
  <si>
    <t>Kiểm tra phát hiện lỗi chia động từ ngôi thứ ba số ít</t>
  </si>
  <si>
    <t>Kiểm tra phát hiện lỗi dùng sai động từ to be</t>
  </si>
  <si>
    <t>Kiểm tra phát hiện lỗi thiếu mạo từ</t>
  </si>
  <si>
    <t>Kiểm tra phát hiện lỗi danh từ số ít/số nhiều</t>
  </si>
  <si>
    <t>Kiểm tra phát hiện lỗi dùng sai giới từ</t>
  </si>
  <si>
    <t>Kiểm tra phát hiện nhiều lỗi trong cùng một câu</t>
  </si>
  <si>
    <t>Kiểm tra khi không nhập văn bản</t>
  </si>
  <si>
    <t>Kiểm tra khi chỉ nhập dấu cách</t>
  </si>
  <si>
    <t>Kiểm tra đoạn văn gồm nhiều câu có lỗi</t>
  </si>
  <si>
    <t>Kiểm tra khi nhập văn bản dài đúng 1000 ký tự (bằng giới hạn)</t>
  </si>
  <si>
    <t>Kiểm tra khi nhập văn bản dài 1001 ký tự (vượt giới hạn)</t>
  </si>
  <si>
    <t>Hiển thị kết quả</t>
  </si>
  <si>
    <t>Kiểm tra hiển thị khu vực kết quả phân tích</t>
  </si>
  <si>
    <t>Kiểm tra số lượng lỗi trong mục Detected Errors</t>
  </si>
  <si>
    <t>Kiểm tra nội dung thẻ lỗi trong Detected Errors</t>
  </si>
  <si>
    <t>Kiểm tra đánh dấu từ lỗi trong văn bản gốc</t>
  </si>
  <si>
    <t>Kiểm tra hiển thị văn bản đã sửa (Corrected version)</t>
  </si>
  <si>
    <t>Kiểm tra nút Export kết quả phân tích</t>
  </si>
  <si>
    <t>API</t>
  </si>
  <si>
    <t>Kiểm tra khi API phản hồi quá chậm (timeout)</t>
  </si>
  <si>
    <t>Kiểm tra khi mất kết nối mạng</t>
  </si>
  <si>
    <t>Kiểm tra khi máy chủ trả lỗi HTTP 500</t>
  </si>
  <si>
    <t>Kiểm tra khi API trả về dữ liệu sai cấu trúc</t>
  </si>
  <si>
    <t>Kiểm tra khi API AI-service lỗi và hệ thống dùng dữ liệu dự phòng (mock data)</t>
  </si>
  <si>
    <t>AI Rewrite</t>
  </si>
  <si>
    <t>Kiểm thử chức năng gợi ý cải thiện câu viết</t>
  </si>
  <si>
    <t>Gợi ý cải thiện câu viết</t>
  </si>
  <si>
    <t>Kiểm tra viết lại câu tiếng Anh hợp lệ</t>
  </si>
  <si>
    <t>Kiểm tra viết lại đoạn gồm nhiều câu</t>
  </si>
  <si>
    <t>Kiểm tra viết lại văn bản nhiều dòng</t>
  </si>
  <si>
    <t>Kiểm tra viết lại văn bản chứa lỗi ngữ pháp và chính tả</t>
  </si>
  <si>
    <t>Kiểm tra viết lại văn bản tiếng Việt</t>
  </si>
  <si>
    <t>Kiểm tra viết lại văn bản có ký tự đặc biệt</t>
  </si>
  <si>
    <t>Kiểm tra viết lại văn bản có số liệu và ngày tháng</t>
  </si>
  <si>
    <t>Kiểm tra viết lại câu đã đúng ngữ pháp</t>
  </si>
  <si>
    <t>Kiểm tra viết lại văn bản chứa mã HTML</t>
  </si>
  <si>
    <t>Kiểm tra khi văn bản chỉ chứa dấu cách</t>
  </si>
  <si>
    <t>Kiểm tra khi nhấn Rewrite liên tiếp nhiều lần</t>
  </si>
  <si>
    <t>Kiểm tra hiển thị bản viết lại tại mục Improved Version</t>
  </si>
  <si>
    <t>Kiểm tra hiển thị phần IMPROVEMENTS theo nhóm thay đổi</t>
  </si>
  <si>
    <t>Kiểm tra hiển thị phần SUMMARY</t>
  </si>
  <si>
    <t>Kiểm tra trạng thái đang xử lý khi viết lại</t>
  </si>
  <si>
    <t>Kiểm tra nút Listen đọc bản viết lại</t>
  </si>
  <si>
    <t>Kiểm tra khi vượt giới hạn tần suất (HTTP 429)</t>
  </si>
  <si>
    <t>Kiểm tra khi API trả về phản hồi rỗng</t>
  </si>
  <si>
    <t>Kiểm tra khi phản hồi sai cấu trúc dữ liệu</t>
  </si>
  <si>
    <t>Vocab Lookup</t>
  </si>
  <si>
    <t>Tra cứu từ</t>
  </si>
  <si>
    <t>Kiểm tra tra cứu một từ tiếng Anh hợp lệ</t>
  </si>
  <si>
    <t>Kiểm tra tra cứu từ viết hoa toàn bộ</t>
  </si>
  <si>
    <t>Kiểm tra tra cứu từ có khoảng trắng đầu và cuối</t>
  </si>
  <si>
    <t>Kiểm tra tra cứu từ không có trong từ điển</t>
  </si>
  <si>
    <t>Kiểm tra tra cứu từ có chứa ký tự đặc biệt</t>
  </si>
  <si>
    <t>Kiểm tra khi bôi chọn vùng chỉ chứa khoảng trắng</t>
  </si>
  <si>
    <t>Kiểm tra tra cứu liên tiếp hai từ khác nhau</t>
  </si>
  <si>
    <t>Kiểm tra tra cứu từ khi API phản hồi chậm</t>
  </si>
  <si>
    <t>Hiển thị nghĩa</t>
  </si>
  <si>
    <t>Kiểm tra hiển thị nghĩa của từ hợp lệ</t>
  </si>
  <si>
    <t>Kiểm tra hiển thị nghĩa của từ có nhiều nghĩa</t>
  </si>
  <si>
    <t>Kiểm tra khi API trả về dữ liệu thiếu nghĩa</t>
  </si>
  <si>
    <t>Hiển thị phiên âm</t>
  </si>
  <si>
    <t>Kiểm tra hiển thị phiên âm IPA</t>
  </si>
  <si>
    <t>Kiểm tra khi API không trả về phiên âm</t>
  </si>
  <si>
    <t>Hiển thị từ loại</t>
  </si>
  <si>
    <t>Kiểm tra hiển thị từ loại của từ</t>
  </si>
  <si>
    <t>Kiểm tra hiển thị từ có nhiều từ loại</t>
  </si>
  <si>
    <t>Kiểm tra khi API không trả về từ loại</t>
  </si>
  <si>
    <t>Popup tra cứu</t>
  </si>
  <si>
    <t>Kiểm tra popup xuất hiện khi chọn từ</t>
  </si>
  <si>
    <t>Kiểm tra đóng popup</t>
  </si>
  <si>
    <t>Kiểm tra popup khi từ nằm sát mép màn hình</t>
  </si>
  <si>
    <t>Kiểm tra popup trên thiết bị cảm ứng</t>
  </si>
  <si>
    <t>Gợi ý cách dùng</t>
  </si>
  <si>
    <t>Kiểm tra hiển thị cách dùng bằng nút See usage with AI</t>
  </si>
  <si>
    <t>Kiểm tra trạng thái đang tải khi tra cứu cách dùng</t>
  </si>
  <si>
    <t>Kiểm tra cách dùng của thành ngữ</t>
  </si>
  <si>
    <t>Kiểm tra khi API cách dùng (/lookup) bị lỗi</t>
  </si>
  <si>
    <t>Kiểm tra khi API tra từ trả lỗi 500</t>
  </si>
  <si>
    <t>Kiểm tra khi API tra từ quá thời gian chờ</t>
  </si>
  <si>
    <t>Module Code</t>
  </si>
  <si>
    <t>Test Requirement</t>
  </si>
  <si>
    <t>Tester</t>
  </si>
  <si>
    <t>Nguyễn Thanh Thủy</t>
  </si>
  <si>
    <t>Passed</t>
  </si>
  <si>
    <t>Failed</t>
  </si>
  <si>
    <t>Untested</t>
  </si>
  <si>
    <t>Blocked</t>
  </si>
  <si>
    <t>Skipped</t>
  </si>
  <si>
    <t>Number of Test cases</t>
  </si>
  <si>
    <t>ID</t>
  </si>
  <si>
    <t>Test Case Description</t>
  </si>
  <si>
    <t>Test Case Procedure</t>
  </si>
  <si>
    <t>Test Data</t>
  </si>
  <si>
    <t>Expected Output</t>
  </si>
  <si>
    <t>Inter-test case Dependence</t>
  </si>
  <si>
    <t>Result</t>
  </si>
  <si>
    <t>Test date</t>
  </si>
  <si>
    <t>TEXT_INPUT_01</t>
  </si>
  <si>
    <t>1. Truy cập trang website
2. Nhập nội dung cần kiểm tra vào ô nhập
3. Quan sát nội dung hiển thị trong ô nhập văn bản và bộ đếm từ</t>
  </si>
  <si>
    <t>2. I am learning English today.</t>
  </si>
  <si>
    <t>1. Hiển thị giao diện chính của trang website.
3. Ô nhập hiển thị đúng chuỗi vừa gõ.</t>
  </si>
  <si>
    <t>Không</t>
  </si>
  <si>
    <t>High</t>
  </si>
  <si>
    <t>TEXT_INPUT_02</t>
  </si>
  <si>
    <t>1. Truy cập trang website
2. Để trống ô nhập
3. Quan sát nội dung hiển thị trong ô nhập văn bản và bộ đếm từ</t>
  </si>
  <si>
    <t>2. Để trống</t>
  </si>
  <si>
    <t>1. Hiển thị giao diện chính của trang website.
3. Hệ thống không hiển thị nội dung trong ô nhập văn bản và bộ đếm từ hiển thị bằng 0.</t>
  </si>
  <si>
    <t>TEXT_INPUT_03</t>
  </si>
  <si>
    <t>1. Truy cập trang website
2. Nhập câu có nhiều dấu cách giữa các từ vào ô nhập văn bản
3. Quan sát nội dung hiển thị và bộ đếm từ</t>
  </si>
  <si>
    <t>2. I   love   English</t>
  </si>
  <si>
    <t>1. Hiển thị giao diện chính của trang website.
3. Hệ thống giữ nguyên nội dung đã nhập và đếm chính xác 3 từ.</t>
  </si>
  <si>
    <t>Medium</t>
  </si>
  <si>
    <t>TEXT_INPUT_04</t>
  </si>
  <si>
    <t>1. Truy cập trang website
2. Nhập câu tiếng Việt có dấu
3. Quan sát nội dung hiển thị trong ô nhập văn bản và bộ đếm từ</t>
  </si>
  <si>
    <t>2. Tôi đang học tiếng Anh mỗi ngày.</t>
  </si>
  <si>
    <t>1. Hiển thị giao diện chính của trang website.
3. Hệ thống hiển thị đúng nội dung tiếng Việt có dấu và đếm chính xác số từ trong câu.</t>
  </si>
  <si>
    <t>TEXT_INPUT_05</t>
  </si>
  <si>
    <t>1. Truy cập trang website
2. Nhập câu chứa ký tự đặc biệt
3. Quan sát nội dung hiển thị trong ô nhập văn bản và bộ đếm từ</t>
  </si>
  <si>
    <t>2. "Hello! @AI #English 100%."</t>
  </si>
  <si>
    <t>1. Hiển thị giao diện chính của trang website.
3. Hệ thống hiển thị đúng các ký tự đặc biệt hợp lệ, không phát sinh lỗi và đếm chính xác số từ trong câu.</t>
  </si>
  <si>
    <t>TEXT_INPUT_06</t>
  </si>
  <si>
    <t>1. Truy cập trang website
2. Nhập câu thứ nhất, nhấn Enter rồi nhập câu thứ hai
3. Quan sát nội dung hiển thị trong ô nhập văn bản và bộ đếm từ</t>
  </si>
  <si>
    <t>2.
Câu 1: First sentence.
Câu 2: Second sentence.</t>
  </si>
  <si>
    <t>1. Hiển thị giao diện chính của trang website.
3. Hệ thống cho phép xuống dòng khi nhấn Enter, không tự động gửi biểu mẫu và đếm chính xác 4 từ theo quy tắc đếm hiện hành.</t>
  </si>
  <si>
    <t>TEXT_INPUT_07</t>
  </si>
  <si>
    <t>1. Truy cập trang website
2. Nhập đoạn văn bản dài đúng 2000 ký tự
3. Quan sát nội dung hiển thị trong ô nhập văn bản và bộ đếm từ</t>
  </si>
  <si>
    <t>2. Chuỗi 2000 ký tự</t>
  </si>
  <si>
    <t>1. Hiển thị giao diện chính của trang website.
3. Hệ thống cho phép nhập đủ 2000 ký tự và xử lý văn bản bình thường.</t>
  </si>
  <si>
    <t>TEXT_INPUT_08</t>
  </si>
  <si>
    <t>1. Truy cập trang website
2. Nhập đoạn văn bản dài 2001 ký tự
3. Quan sát nội dung hiển thị trong ô nhập văn bản và bộ đếm từ</t>
  </si>
  <si>
    <t>2. Chuỗi 2001 ký tự</t>
  </si>
  <si>
    <t>1. Hiển thị giao diện chính của trang website.
3. Hệ thống không cho phép nhập vượt quá 2000 ký tự hoặc thông báo phù hợp khi vượt giới hạn.</t>
  </si>
  <si>
    <t>TEXT_PASTE_01</t>
  </si>
  <si>
    <t>1. Truy cập trang website
2. Nhấn nút [Paste] để dán nội dung từ clipboard</t>
  </si>
  <si>
    <t>2. Clipboard: "Practice makes perfect."</t>
  </si>
  <si>
    <t>1. Hiển thị giao diện chính của trang website.
2. Hệ thống hiển thị nội dung được dán đầy đủ và đếm đúng số từ trong câu.</t>
  </si>
  <si>
    <t>TEXT_PASTE_02</t>
  </si>
  <si>
    <t>2. Clipboard: văn bản 3 đoạn</t>
  </si>
  <si>
    <t>1. Hiển thị giao diện chính của trang website.
2. Hệ thống hiển thị ba đoạn được sao chép, không mất dữ liệu và tổng số từ chính xác.</t>
  </si>
  <si>
    <t>TEXT_PASTE_03</t>
  </si>
  <si>
    <t>1. Truy cập trang website
2. Sao chép nội dung kiểm thử vào clipboard và nhấn nút [Paste]
3. Quan sát nội dung hiển thị và bộ đếm từ</t>
  </si>
  <si>
    <t>Clipboard: I like English 😊 café résumé</t>
  </si>
  <si>
    <t>1. Hiển thị giao diện chính của trang website.
3. Hệ thống hiển thị đúng các ký tự Unicode và emoji, không lỗi font, đồng thời đếm số từ theo quy tắc hiện hành.</t>
  </si>
  <si>
    <t>TEXT_PASTE_04</t>
  </si>
  <si>
    <t>2.
Sẵn có: "Hello";
Clipboard: " world"</t>
  </si>
  <si>
    <t>1. Hiển thị giao diện chính của trang website.
2. Hệ thống hiển thị nội dung dán được nối vào vị trí con trỏ và số từ cập nhật chính xác.</t>
  </si>
  <si>
    <t>TEXT_PASTE_05</t>
  </si>
  <si>
    <t>2. Clipboard: chuỗi 2001 ký tự</t>
  </si>
  <si>
    <t>1. Hiển thị giao diện chính của trang website.
2. Hệ thống chặn hoặc cắt phần vượt giới hạn và hiển thị thông báo phù hợp.</t>
  </si>
  <si>
    <t>TEXT_SAMPLE_01</t>
  </si>
  <si>
    <t>1. Truy cập trang website
2. Nhấn nút [Sample Text]</t>
  </si>
  <si>
    <t>1. Hiển thị giao diện chính của trang website.
2. Hệ thống tự động điền văn bản mẫu vào ô nhập và cập nhật bộ đếm từ tương ứng.</t>
  </si>
  <si>
    <t>TEXT_SAMPLE_02</t>
  </si>
  <si>
    <t>1. Hiển thị giao diện chính của trang website.
2. Hệ thống thay thế nội dung hiện tại bằng văn bản mẫu và cập nhật bộ đếm từ tương ứng.</t>
  </si>
  <si>
    <t>TEXT_SAMPLE_03</t>
  </si>
  <si>
    <t>1. Hiển thị giao diện chính của trang website.
2. Hệ thống hiển thị văn bản mẫu mà không bị nhân đôi ngoài ý muốn, giao diện hoạt động bình thường và bộ đếm từ chính xác.</t>
  </si>
  <si>
    <t>TEXT_CLEAR_01</t>
  </si>
  <si>
    <t>1. Truy cập trang website
2. Nhập một đoạn văn bản
3. Nhấn nút [Clear All]</t>
  </si>
  <si>
    <t>2. This text will be cleared.</t>
  </si>
  <si>
    <t>1. Hiển thị giao diện chính của trang website.
3. Toàn bộ nội dung bị xóa, số từ về 0 và các kết quả xử lý liên quan được làm mới.</t>
  </si>
  <si>
    <t>TEXT_CLEAR_02</t>
  </si>
  <si>
    <t>1. Truy cập trang website
2. Giữ nguyên ô nhập ở trạng thái trống
3. Nhấn nút [Clear All]</t>
  </si>
  <si>
    <t>1. Hiển thị giao diện chính của trang website.
3. Hệ thống không phát sinh lỗi, ô nhập văn bản vẫn trống và bộ đếm từ hiển thị bằng 0.</t>
  </si>
  <si>
    <t>TEXT_CLEAR_03</t>
  </si>
  <si>
    <t>1. Truy cập trang website
2. Nhấn nút [Sample Text]
3. Nhấn nút [Clear All]</t>
  </si>
  <si>
    <t>1. Hiển thị giao diện chính của trang website.
2. Hệ thống tự động điền văn bản mẫu vào ô nhập và cập nhật bộ đếm từ tương ứng.
3. Hệ thống xóa văn bản mẫu khỏi ô nhập và đưa bộ đếm từ về 0.</t>
  </si>
  <si>
    <t>TEXT_IMPORT_01</t>
  </si>
  <si>
    <t>1. Truy cập trang website
2. Nhấn nút [Import File]
3. Chọn một tệp văn bản thuộc định dạng được hỗ trợ
4. Nhấn nút [OK]</t>
  </si>
  <si>
    <t>3. Tệp .docx hợp lệ chứa: I am learning English today.</t>
  </si>
  <si>
    <t>1. Hiển thị giao diện chính của trang website.
2. Hiển thị giao diện chọn file.
4. Hệ thống hiển thị đầy đủ nội dung từ tệp đã nhập và cập nhật bộ đếm từ chính xác.</t>
  </si>
  <si>
    <t>TEXT_IMPORT_02</t>
  </si>
  <si>
    <t>1. Truy cập trang website
2. Chọn chức năng Import File
3. Chọn tệp văn bản có nhiều đoạn
4. Nhấn nút [OK]</t>
  </si>
  <si>
    <t>3. Tệp văn bản gồm 3 đoạn, có xuống dòng giữa các đoạn.</t>
  </si>
  <si>
    <t>1. Hiển thị giao diện chính của trang website.
4. Hệ thống giữ nguyên nội dung và cấu trúc xuống dòng của các đoạn, không mất dữ liệu và đếm số từ theo quy tắc hiện hành.</t>
  </si>
  <si>
    <t>TEXT_IMPORT_03</t>
  </si>
  <si>
    <t>1. Truy cập trang website
2. Nhấn nút [Import File]
3. Chọn tệp văn bản mã hóa UTF-8 chứa tiếng Việt có dấu và ký tự Unicode
4. Nhấn nút [OK]</t>
  </si>
  <si>
    <t>3. Tệp chứa: Tôi đang học tiếng Anh. café résumé 😊</t>
  </si>
  <si>
    <t>1. Hiển thị giao diện chính của trang website.
4. Ký tự Unicode hiển thị đúng trong ô nhập, không lỗi font hoặc ký tự lạ.</t>
  </si>
  <si>
    <t>TEXT_IMPORT_04</t>
  </si>
  <si>
    <t>1. Truy cập trang website
2. Chọn chức năng Import File
3. Chọn một tệp có định dạng không được hỗ trợ
4. Nhấn nút [OK]</t>
  </si>
  <si>
    <t>3. Tệp có định dạng không thuộc danh sách được hỗ trợ, ví dụ .exe.</t>
  </si>
  <si>
    <t>1. Hiển thị giao diện chính của trang website.
4. Hệ thống từ chối tệp không được hỗ trợ và hiển thị thông báo phù hợp; giao diện không bị treo.</t>
  </si>
  <si>
    <t>TEXT_IMPORT_05</t>
  </si>
  <si>
    <t>1. Truy cập trang website
2. Chọn chức năng Import File
3. Chọn tệp văn bản rỗng
4. Nhấn nút [OK]</t>
  </si>
  <si>
    <t>3. Tệp .txt có dung lượng 0 byte.</t>
  </si>
  <si>
    <t>1. Hiển thị giao diện chính của trang website.
4. Hệ thống xử lý tệp rỗng theo quy định của ứng dụng, không phát sinh lỗi không kiểm soát và hiển thị thông báo phù hợp nếu không thể nhập.</t>
  </si>
  <si>
    <t>TEXT_IMPORT_06</t>
  </si>
  <si>
    <t>1. Truy cập trang website
2. Chọn chức năng Import File
3. Chọn tệp văn bản có nội dung vượt giới hạn ký tự của ô nhập
4. Nhấn nút [OK]</t>
  </si>
  <si>
    <t>3. Tệp .txt có nội dung dài 2001 ký tự (giới hạn đang ghi nhận trong bộ test).</t>
  </si>
  <si>
    <t>1. Hiển thị giao diện chính của trang website.
4. Hệ thống áp dụng cùng quy tắc giới hạn ký tự như nhập trực tiếp: không nhận vượt giới hạn hoặc thông báo/cắt phần dư theo yêu cầu đã xác nhận.</t>
  </si>
  <si>
    <t>TEXT_INPUT_07; TEXT_INPUT_08</t>
  </si>
  <si>
    <t>TEXT_IMPORT_07</t>
  </si>
  <si>
    <t>1. Truy cập trang website
2. Nhập một câu vào ô nhập
3. Nhấn nút [Import File] và chọn tệp văn bản hợp lệ
4. Nhấn nút [OK]
5. Quan sát ô nhập và bộ đếm từ</t>
  </si>
  <si>
    <t>2. Sẵn có: Hello
3. Tệp chứa: I am learning English today.</t>
  </si>
  <si>
    <t>1. Hiển thị giao diện chính của trang website.
5. Nội dung ô nhập được cập nhật theo thiết kế (thay thế hoặc nối thêm), không phát sinh lỗi và bộ đếm từ chính xác.</t>
  </si>
  <si>
    <t>TEXT_IMPORT_08</t>
  </si>
  <si>
    <t>1. Truy cập trang website
2. Chọn chức năng Import File
3. Mở hộp thoại chọn tệp rồi nhấn Cancel
4. Quan sát ô nhập văn bản và bộ đếm từ</t>
  </si>
  <si>
    <t>Ô nhập ban đầu chứa: Existing text.</t>
  </si>
  <si>
    <t>1. Hiển thị giao diện chính của trang website.
4. Hệ thống đóng hộp thoại chọn tệp, giữ nguyên nội dung hiện tại và không thay đổi bộ đếm từ.</t>
  </si>
  <si>
    <t>TEXT_IMPORT_09</t>
  </si>
  <si>
    <t>1. Truy cập trang website
2. Nhấn nút [Import File], chọn tệp thứ nhất rồi nhấn nút [OK]
3. Nhấn nút [Import File], chọn tệp thứ hai rồi nhấn nút [OK]
4. Quan sát ô nhập và bộ đếm từ</t>
  </si>
  <si>
    <t>2. Tệp a: First file.
3. Tệp b: Second file.</t>
  </si>
  <si>
    <t>1. Hiển thị giao diện chính của trang website.
4. Nội dung hiển thị theo thiết kế, không bị lẫn hoặc nhân đôi dữ liệu; bộ đếm từ chính xác.</t>
  </si>
  <si>
    <t>TEXT_IMPORT_10</t>
  </si>
  <si>
    <t>1. Truy cập trang website
2. Nhấn nút [Import File], chọn tệp văn bản chứa câu sai ngữ pháp rồi nhấn nút [OK]
3. Nhấn nút [Check]
4. Quan sát phần [Analysis Result]</t>
  </si>
  <si>
    <t>2. Tệp chứa: He go to work by bus every morning.</t>
  </si>
  <si>
    <t>1. Hiển thị giao diện chính của trang website.
4. Hệ thống phân tích nội dung đã nhập, đánh dấu lỗi "go" và gợi ý sửa thành "goes".</t>
  </si>
  <si>
    <t>TEXT_IMPORT_11</t>
  </si>
  <si>
    <t>1. Truy cập trang website
2. Nhấn nút [Import File], chọn tệp văn bản hợp lệ rồi nhấn nút [OK]
3. Sửa một số từ trong nội dung đã nhập
4. Quan sát ô nhập và bộ đếm từ</t>
  </si>
  <si>
    <t>2. Tệp chứa: I am learning English today.</t>
  </si>
  <si>
    <t>1. Hiển thị giao diện chính của trang website.
4. Cho phép chỉnh sửa nội dung đã nhập từ tệp như văn bản nhập tay; bộ đếm từ cập nhật theo nội dung mới.</t>
  </si>
  <si>
    <t>TEXT_UI_01</t>
  </si>
  <si>
    <t>1. Truy cập trang website
2. Quan sát khu vực Import File
3. Kiểm tra nhấn nút [Import File], tên tệp sau khi chọn và nút [OK]</t>
  </si>
  <si>
    <t>1. Hiển thị giao diện chính của trang website.
3. Hệ thống hiển thị rõ các thành phần Import File theo thiết kế; nhãn và nút không bị cắt, chồng lấn hoặc tràn khỏi khu vực giao diện.</t>
  </si>
  <si>
    <t>TEXT_UI_02</t>
  </si>
  <si>
    <t>1. Truy cập trang website
2. Chuyển vùng hiển thị sang chiều rộng 390px
3. Quan sát khu vực Import File và thử chọn tệp</t>
  </si>
  <si>
    <t>Viewport: 390px</t>
  </si>
  <si>
    <t>1. Hiển thị giao diện chính của trang website.
3. Hệ thống hiển thị khu vực Import File phù hợp với màn hình nhỏ; nút chọn tệp và các thông tin liên quan vẫn nhìn thấy và thao tác được.</t>
  </si>
  <si>
    <t>TEXT_UI_03</t>
  </si>
  <si>
    <t>1. Truy cập trang website
2. Đặt chiều rộng vùng hiển thị trình duyệt là 768px
3. Quan sát bố cục, ô nhập văn bản và các nút chức năng</t>
  </si>
  <si>
    <t>Viewport: 768px</t>
  </si>
  <si>
    <t>1. Hiển thị giao diện chính của trang website.
3. Hệ thống hiển thị các thành phần rõ ràng, không chồng lấn hoặc tràn ngang; các nút và ô nhập vẫn sử dụng được.</t>
  </si>
  <si>
    <t>TEXT_UI_04</t>
  </si>
  <si>
    <t>1. Truy cập trang website bằng chế độ giả lập điện thoại trên trình duyệt
2. Quan sát ô nhập văn bản, bộ đếm từ và các nút chức năng
3. Thử thao tác với các thành phần chính</t>
  </si>
  <si>
    <t>Viewport: 390 × 844px</t>
  </si>
  <si>
    <t>1. Hiển thị giao diện chính của trang website.
3. Hệ thống bố trí các thành phần phù hợp với màn hình nhỏ, không chồng lấn hoặc tràn ngang và cho phép thao tác với các chức năng chính.</t>
  </si>
  <si>
    <t>TEXT_UI_05</t>
  </si>
  <si>
    <t>1. Truy cập trang website
2. Quan sát khu vực nhập văn bản</t>
  </si>
  <si>
    <t>1. Hiển thị giao diện chính của trang website.
2. Hiển thị ô nhập, bộ đếm từ và các nút [Sample], [Paste], [Clear All], [Import File], [Check]; nhãn đúng chính tả và không bị che khuất.</t>
  </si>
  <si>
    <t>TEXT_UI_06</t>
  </si>
  <si>
    <t>1. Truy cập trang website
2. Nhập câu vào ô nhập
3. Xóa bớt một số từ trong ô nhập
4. Quan sát bộ đếm từ sau mỗi thao tác</t>
  </si>
  <si>
    <t>2. This is a simple sentence.</t>
  </si>
  <si>
    <t>1. Hiển thị giao diện chính của trang website.
3. Bộ đếm cập nhật ngay thành "5 words".
4. Bộ đếm giảm tương ứng với số từ còn lại.</t>
  </si>
  <si>
    <t>TEXT_UI_07</t>
  </si>
  <si>
    <t>1. Truy cập trang website
2. Nhập văn bản nhiều đoạn dài khoảng 1500 ký tự
3. Quan sát ô nhập và bố cục trang</t>
  </si>
  <si>
    <t>2. Văn bản khoảng 1500 ký tự gồm nhiều đoạn</t>
  </si>
  <si>
    <t>1. Hiển thị giao diện chính của trang website.
3. Ô nhập có thanh cuộn hoặc tự giãn chiều cao hợp lý, nội dung không bị tràn và bố cục trang không bị vỡ.</t>
  </si>
  <si>
    <t>Kiểm thử chức năng ngữ pháp sửa lỗi tiếng Anh</t>
  </si>
  <si>
    <t>GRAMMAR_CHECK_01</t>
  </si>
  <si>
    <t>1. Truy cập trang website
2. Nhập câu đúng ngữ pháp
3. Nhấn nút [Check]</t>
  </si>
  <si>
    <t>2. My brother plays football every weekend.</t>
  </si>
  <si>
    <t>1. Hiển thị giao diện chính của trang website.
3. Hệ thống không phát hiện lỗi: văn bản đã sửa giống văn bản gốc, mục Detected Errors hiển thị (0) và không có từ nào bị đánh dấu.</t>
  </si>
  <si>
    <t>GRAMMAR_CHECK_02</t>
  </si>
  <si>
    <t>1. Truy cập trang website
2. Nhập câu sai chia động từ ngôi thứ ba số ít
3. Nhấn nút [Check]</t>
  </si>
  <si>
    <t>2. He go to work by bus every morning.</t>
  </si>
  <si>
    <t>1. Hiển thị giao diện chính của trang website.
3. Hệ thống phát hiện lỗi ở từ "go", đánh dấu và gợi ý sửa thành "goes".</t>
  </si>
  <si>
    <t>GRAMMAR_CHECK_03</t>
  </si>
  <si>
    <t>1. Truy cập trang website
2. Nhập câu dùng sai động từ to be
3. Nhấn nút [Check]</t>
  </si>
  <si>
    <t>2. We is ready for the exam.</t>
  </si>
  <si>
    <t>1. Hiển thị giao diện chính của trang website.
3. Hệ thống phát hiện lỗi ở từ "is", đánh dấu và gợi ý sửa thành "are".</t>
  </si>
  <si>
    <t>GRAMMAR_CHECK_04</t>
  </si>
  <si>
    <t>1. Truy cập trang website
2. Nhập câu thiếu mạo từ
3. Nhấn nút [Check]</t>
  </si>
  <si>
    <t>2. She bought umbrella yesterday.</t>
  </si>
  <si>
    <t>1. Hiển thị giao diện chính của trang website.
3. Hệ thống phát hiện thiếu mạo từ và gợi ý sửa "bought umbrella" thành "bought an umbrella".</t>
  </si>
  <si>
    <t>GRAMMAR_CHECK_05</t>
  </si>
  <si>
    <t>1. Truy cập trang website
2. Nhập câu sai danh từ số ít/số nhiều
3. Nhấn nút [Check]</t>
  </si>
  <si>
    <t>2. I have three brother in my family.</t>
  </si>
  <si>
    <t>1. Hiển thị giao diện chính của trang website.
3. Hệ thống phát hiện lỗi ở từ "brother", đánh dấu và gợi ý sửa thành "brothers".</t>
  </si>
  <si>
    <t>GRAMMAR_CHECK_06</t>
  </si>
  <si>
    <t>1. Truy cập trang website
2. Nhập câu dùng sai giới từ
3. Nhấn nút [Check]</t>
  </si>
  <si>
    <t>2. She is good in math.</t>
  </si>
  <si>
    <t>1. Hiển thị giao diện chính của trang website.
3. Hệ thống phát hiện giới từ "in" dùng sai, đánh dấu và gợi ý sửa thành "at".</t>
  </si>
  <si>
    <t>GRAMMAR_CHECK_07</t>
  </si>
  <si>
    <t>1. Truy cập trang website
2. Nhập câu chứa nhiều lỗi ngữ pháp cùng lúc
3. Nhấn nút [Check]</t>
  </si>
  <si>
    <t>2. She go to the market and buy vegetables yesterday.</t>
  </si>
  <si>
    <t>1. Hiển thị giao diện chính của trang website.
3. Hệ thống trả về hai lỗi "go" → "went" và "buy" → "bought", đồng thời đánh dấu và liệt kê đầy đủ trên giao diện.</t>
  </si>
  <si>
    <t>GRAMMAR_CHECK_08</t>
  </si>
  <si>
    <t>1. Truy cập trang website
2. Để trống ô nhập văn bản
3. Nhấn nút [Check]</t>
  </si>
  <si>
    <t>2. (Để trống, không nhập gì)</t>
  </si>
  <si>
    <t>1. Hiển thị giao diện chính của trang website.
3. Hệ thống hiển thị thông báo "Please enter text" và không gửi yêu cầu tới API.</t>
  </si>
  <si>
    <t>GRAMMAR_CHECK_09</t>
  </si>
  <si>
    <t>1. Truy cập trang website
2. Chỉ nhập các dấu cách vào ô nhập văn bản
3. Nhấn nút [Check]</t>
  </si>
  <si>
    <t>2. (Chỉ nhập 5 dấu cách)</t>
  </si>
  <si>
    <t>1. Hiển thị giao diện chính của trang website.
3. Hệ thống xử lý như văn bản rỗng, hiển thị thông báo "Please enter text" và không gửi yêu cầu tới API.</t>
  </si>
  <si>
    <t>GRAMMAR_CHECK_10</t>
  </si>
  <si>
    <t>1. Truy cập trang website
2. Nhập đoạn văn gồm nhiều câu có lỗi ngữ pháp
3. Nhấn nút [Check]</t>
  </si>
  <si>
    <t>2. My sister have a cat. It are very lazy. I love it.</t>
  </si>
  <si>
    <t>1. Hiển thị giao diện chính của trang website.
3. Hệ thống kiểm tra toàn bộ đoạn văn, phát hiện "have" → "has" và "are" → "is", đồng thời hiển thị bản đã sửa.</t>
  </si>
  <si>
    <t>GRAMMAR_CHECK_11</t>
  </si>
  <si>
    <t>1. Truy cập trang website
2. Nhập văn bản dài đúng 1000 ký tự
3. Nhấn nút [Check]</t>
  </si>
  <si>
    <t>2. Chuỗi 1000 ký tự (ví dụ: ký tự "a" lặp lại 1000 lần)</t>
  </si>
  <si>
    <t>1. Hiển thị giao diện chính của trang website.
3. Hệ thống xử lý văn bản bình thường, không hiển thị thông báo vượt giới hạn.</t>
  </si>
  <si>
    <t>GRAMMAR_CHECK_12</t>
  </si>
  <si>
    <t>1. Truy cập trang website
2. Nhập văn bản dài 1001 ký tự
3. Nhấn nút [Check]</t>
  </si>
  <si>
    <t>2. Chuỗi 1001 ký tự (ví dụ: ký tự "a" lặp lại 1001 lần)</t>
  </si>
  <si>
    <t>1. Hiển thị giao diện chính của trang website.
3. Hệ thống hiển thị thông báo "Text is too long (max 1000 characters)".</t>
  </si>
  <si>
    <t>GRAMMAR_RESULT_01</t>
  </si>
  <si>
    <t>1. Truy cập trang website
2. Nhập văn bản cần kiểm tra vào ô nhập
3. Nhấn nút [Check]
4. Quan sát khu vực [Analysis Result]</t>
  </si>
  <si>
    <t>1. Hiển thị giao diện chính của trang website.
4. Hiển thị văn bản gốc (Original) có đánh dấu lỗi, văn bản đã sửa (Corrected version) và danh sách [Detected Errors (n)].</t>
  </si>
  <si>
    <t>GRAMMAR_RESULT_02</t>
  </si>
  <si>
    <t>1. Truy cập trang website
2. Nhập văn bản cần kiểm tra vào ô nhập
3. Nhấn nút [Check]
4. Quan sát mục [Detected Errors]</t>
  </si>
  <si>
    <t>1. Hiển thị giao diện chính của trang website.
4. Tiêu đề hiển thị đúng số lỗi (2) và có 2 thẻ lỗi tương ứng.</t>
  </si>
  <si>
    <t>GRAMMAR_RESULT_03</t>
  </si>
  <si>
    <t>1. Truy cập trang website
2. Nhập văn bản cần kiểm tra vào ô nhập
3. Nhấn nút [Check]
4. Xem thẻ lỗi đầu tiên trong mục [Detected Errors]</t>
  </si>
  <si>
    <t>2. She go to the market yesterday.</t>
  </si>
  <si>
    <t>1. Hiển thị giao diện chính của trang website.
4. Thẻ lỗi hiển thị nhãn loại lỗi (ví dụ TENSE), gợi ý sửa dạng "go → went" và phần giải thích bằng tiếng Anh.</t>
  </si>
  <si>
    <t>GRAMMAR_RESULT_04</t>
  </si>
  <si>
    <t>1. Truy cập trang website
2. Nhập văn bản cần kiểm tra vào ô nhập
3. Nhấn nút [Check]
4. Quan sát văn bản gốc (Original) trong [Analysis Result]</t>
  </si>
  <si>
    <t>1. Hiển thị giao diện chính của trang website.
4. Từ lỗi "is" được đánh dấu nổi bật; các từ đúng không bị đánh dấu.</t>
  </si>
  <si>
    <t>GRAMMAR_RESULT_05</t>
  </si>
  <si>
    <t>1. Truy cập trang website
2. Nhập văn bản cần kiểm tra vào ô nhập
3. Nhấn nút [Check]
4. Quan sát mục [Corrected version]</t>
  </si>
  <si>
    <t>1. Hiển thị giao diện chính của trang website.
4. Văn bản đã sửa hiển thị "I have three brothers in my family."</t>
  </si>
  <si>
    <t>GRAMMAR_RESULT_06</t>
  </si>
  <si>
    <t>1. Truy cập trang website
2. Nhập văn bản cần kiểm tra vào ô nhập
3. Nhấn nút [Check]
4. Nhấn nút [EXPORT] trong phần [Analysis Result]</t>
  </si>
  <si>
    <t>2. My sister have a cat.</t>
  </si>
  <si>
    <t>1. Hiển thị giao diện chính của trang website.
4. Hệ thống xuất kết quả phân tích thành công theo thiết kế (tải tệp về máy) và nội dung tệp khớp với kết quả hiển thị.</t>
  </si>
  <si>
    <t>GRAMMAR_API_01</t>
  </si>
  <si>
    <t>1. Truy cập trang website
2. Nhập câu đúng ngữ pháp
3. Giả lập API phản hồi quá thời gian chờ
4. Nhấn nút [Check]</t>
  </si>
  <si>
    <t>2. He works in a bank.</t>
  </si>
  <si>
    <t>1. Hiển thị giao diện chính của trang website.
4. Hệ thống hiển thị thông báo lỗi "Cannot connect API" và cho phép nhấn [Check] để thử lại.</t>
  </si>
  <si>
    <t>GRAMMAR_API_02</t>
  </si>
  <si>
    <t>1. Truy cập trang website
2. Nhập câu đúng ngữ pháp
3. Ngắt kết nối mạng
4. Nhấn nút [Check]</t>
  </si>
  <si>
    <t>2. We are studying English.</t>
  </si>
  <si>
    <t>1. Hiển thị giao diện chính của trang website.
4. Hệ thống hiển thị thông báo lỗi và giữ nguyên nội dung đã nhập.</t>
  </si>
  <si>
    <t>GRAMMAR_API_03</t>
  </si>
  <si>
    <t>1. Truy cập trang website
2. Nhập câu đúng ngữ pháp
3. Giả lập API trả về lỗi HTTP 500
4. Nhấn nút [Check]</t>
  </si>
  <si>
    <t>2. My mother is cooking dinner.</t>
  </si>
  <si>
    <t>1. Hiển thị giao diện chính của trang website.
4. Hệ thống hiển thị thông báo lỗi, ứng dụng không bị treo.</t>
  </si>
  <si>
    <t>GRAMMAR_API_04</t>
  </si>
  <si>
    <t>1. Truy cập trang website
2. Nhập câu đúng ngữ pháp
3. Giả lập API trả về dữ liệu sai cấu trúc
4. Nhấn nút [Check]</t>
  </si>
  <si>
    <t>2. I am a teacher.</t>
  </si>
  <si>
    <t>GRAMMAR_API_05</t>
  </si>
  <si>
    <t>1. Truy cập trang website
2. Nhập văn bản cần kiểm tra vào ô nhập
3. Giả lập AI-service không phản hồi
4. Nhấn nút [Check]</t>
  </si>
  <si>
    <t>1. Hiển thị giao diện chính của trang website.
4. Hệ thống tự động dùng dữ liệu dự phòng (mock data) hoặc hiển thị thông báo lỗi theo thiết kế, ứng dụng không bị treo.</t>
  </si>
  <si>
    <t>AI_REWRITE_01</t>
  </si>
  <si>
    <t>1. Truy cập trang website
2. Nhập câu tiếng Anh cần viết lại
3. Nhấn nút [Check]
4. Nhấn nút [Rewrite with AI] tại mục [AI Rewrite Suggestion]</t>
  </si>
  <si>
    <t>2. I want to improve my English writing.</t>
  </si>
  <si>
    <t>AI_REWRITE_02</t>
  </si>
  <si>
    <t>1. Truy cập trang website
2. Nhập đoạn gồm nhiều câu
3. Nhấn nút [Check]
4. Nhấn nút [Rewrite with AI] tại mục [AI Rewrite Suggestion]</t>
  </si>
  <si>
    <t>2. I study English every day. I want to speak better.</t>
  </si>
  <si>
    <t>AI_REWRITE_03</t>
  </si>
  <si>
    <t>1. Truy cập trang website
2. Nhập văn bản gồm nhiều dòng (nhấn Enter giữa các dòng)
3. Nhấn nút [Check]
4. Nhấn nút [Rewrite with AI] tại mục [AI Rewrite Suggestion]</t>
  </si>
  <si>
    <t>2. Dòng 1: "I like English."
Dòng 2: "It help me find better jobs."</t>
  </si>
  <si>
    <t>AI_REWRITE_04</t>
  </si>
  <si>
    <t>1. Truy cập trang website
2. Nhập câu chứa lỗi ngữ pháp và chính tả
3. Nhấn nút [Check]
4. Nhấn nút [Rewrite with AI] tại mục [AI Rewrite Suggestion]</t>
  </si>
  <si>
    <t>2. She go to scool every days.</t>
  </si>
  <si>
    <t>AI_REWRITE_05</t>
  </si>
  <si>
    <t>1. Truy cập trang website
2. Nhập câu tiếng Việt
3. Nhấn nút [Check]
4. Nhấn nút [Rewrite with AI] tại mục [AI Rewrite Suggestion]</t>
  </si>
  <si>
    <t>2. Tôi muốn học tiếng Anh.</t>
  </si>
  <si>
    <t>AI_REWRITE_06</t>
  </si>
  <si>
    <t>1. Truy cập trang website
2. Nhập văn bản chứa ký tự đặc biệt
3. Nhấn nút [Check]
4. Nhấn nút [Rewrite with AI] tại mục [AI Rewrite Suggestion]</t>
  </si>
  <si>
    <t>2. English!!! @school #learning</t>
  </si>
  <si>
    <t>AI_REWRITE_07</t>
  </si>
  <si>
    <t>1. Truy cập trang website
2. Nhập văn bản có số liệu và ngày tháng
3. Nhấn nút [Check]
4. Nhấn nút [Rewrite with AI] tại mục [AI Rewrite Suggestion]</t>
  </si>
  <si>
    <t>2. I studied for 2 hours on 27/06/2026.</t>
  </si>
  <si>
    <t>AI_REWRITE_08</t>
  </si>
  <si>
    <t>1. Truy cập trang website
2. Nhập câu đúng ngữ pháp
3. Nhấn nút [Check]
4. Nhấn nút [Rewrite with AI] tại mục [AI Rewrite Suggestion]</t>
  </si>
  <si>
    <t>1. Hiển thị giao diện chính của trang website.
4. Hệ thống trả về bản viết lại hợp lệ, giữ nguyên ý và không báo lỗi.</t>
  </si>
  <si>
    <t>AI_REWRITE_09</t>
  </si>
  <si>
    <t>1. Truy cập trang website
2. Nhập văn bản chứa thẻ HTML
3. Nhấn nút [Check]
4. Nhấn nút [Rewrite with AI] tại mục [AI Rewrite Suggestion]</t>
  </si>
  <si>
    <t>2. &lt;b&gt;Hello&lt;/b&gt; &lt;script&gt;alert('xss')&lt;/script&gt;</t>
  </si>
  <si>
    <t>1. Hiển thị giao diện chính của trang website.
4. Hệ thống không thực thi mã HTML/script, hiển thị nội dung như chữ thường và ứng dụng không bị lỗi.</t>
  </si>
  <si>
    <t>AI_REWRITE_10</t>
  </si>
  <si>
    <t>1. Truy cập trang website
2. Để trống ô nhập văn bản
3. Nhấn nút [Rewrite with AI]</t>
  </si>
  <si>
    <t>AI_REWRITE_11</t>
  </si>
  <si>
    <t>1. Truy cập trang website
2. Chỉ nhập các dấu cách vào ô nhập văn bản
3. Nhấn nút [Rewrite with AI]</t>
  </si>
  <si>
    <t>AI_REWRITE_12</t>
  </si>
  <si>
    <t>1. Truy cập trang website
2. Nhập câu cần viết lại
3. Nhấn nút [Check]
4. Nhấn nút [Rewrite with AI] liên tiếp nhiều lần</t>
  </si>
  <si>
    <t>2. I want to write better.</t>
  </si>
  <si>
    <t>1. Hiển thị giao diện chính của trang website.
4. Nút bị vô hiệu hóa và hiển thị "Rewriting..." khi đang xử lý; chỉ một yêu cầu được gửi đi.</t>
  </si>
  <si>
    <t>AI_REWRITE_RESULT_01</t>
  </si>
  <si>
    <t>1. Truy cập trang website
2. Nhập văn bản cần kiểm tra vào ô nhập
3. Nhấn nút [Check]
4. Nhấn nút [Rewrite with AI]
5. Quan sát kết quả</t>
  </si>
  <si>
    <t>1. Hiển thị giao diện chính của trang website.
5. Hiển thị bản viết lại tại mục [Improved Version] khác với văn bản gốc và giữ nguyên ý nghĩa.</t>
  </si>
  <si>
    <t>AI_REWRITE_RESULT_02</t>
  </si>
  <si>
    <t>1. Truy cập trang website
2. Nhập văn bản cần kiểm tra vào ô nhập
3. Nhấn nút [Check]
4. Nhấn nút [Rewrite with AI]
5. Quan sát phần [IMPROVEMENTS]</t>
  </si>
  <si>
    <t>2. I very like study English because it is important.</t>
  </si>
  <si>
    <t>1. Hiển thị giao diện chính của trang website.
5. Các cải tiến được chia theo nhóm Vocabulary, Structure, Style; mỗi mục có Original, Improved và Reason.</t>
  </si>
  <si>
    <t>AI_REWRITE_RESULT_03</t>
  </si>
  <si>
    <t>1. Truy cập trang website
2. Nhập văn bản cần kiểm tra vào ô nhập
3. Nhấn nút [Check]
4. Nhấn nút [Rewrite with AI]
5. Quan sát phần [SUMMARY]</t>
  </si>
  <si>
    <t>1. Hiển thị giao diện chính của trang website.
5. Phần [SUMMARY] hiển thị tóm tắt ngắn gọn các thay đổi chính, khớp với nội dung [IMPROVEMENTS].</t>
  </si>
  <si>
    <t>AI_REWRITE_RESULT_04</t>
  </si>
  <si>
    <t>1. Truy cập trang website
2. Nhập văn bản cần kiểm tra vào ô nhập
3. Nhấn nút [Check]
4. Nhấn nút [Rewrite with AI]
5. Quan sát nút ngay sau khi nhấn</t>
  </si>
  <si>
    <t>1. Hiển thị giao diện chính của trang website.
5. Nút hiển thị "Rewriting..." và bị vô hiệu hóa trong khi chờ; sau khi có kết quả nút trở lại trạng thái ban đầu.</t>
  </si>
  <si>
    <t>AI_REWRITE_RESULT_05</t>
  </si>
  <si>
    <t>1. Truy cập trang website
2. Nhập văn bản cần kiểm tra vào ô nhập
3. Nhấn nút [Check]
4. Nhấn nút [Rewrite with AI]
5. Nhấn nút [Listen] tại mục [Improved Version]</t>
  </si>
  <si>
    <t>1. Hiển thị giao diện chính của trang website.
6. Hệ thống đọc to nội dung bản viết lại bằng giọng tiếng Anh và không phát sinh lỗi.</t>
  </si>
  <si>
    <t>AI_REWRITE_API_01</t>
  </si>
  <si>
    <t>1. Truy cập trang website
2. Nhập câu đúng ngữ pháp
3. Nhấn nút [Check]
4. Giả lập API phản hồi quá thời gian chờ
5. Nhấn nút [Rewrite with AI] tại mục [AI Rewrite Suggestion]</t>
  </si>
  <si>
    <t>2. I am learning English.</t>
  </si>
  <si>
    <t>1. Hiển thị giao diện chính của trang website.
5. Sau thời gian chờ (khoảng 30 giây) hiển thị thông báo lỗi và cho phép nhấn [Rewrite with AI] để thử lại.</t>
  </si>
  <si>
    <t>AI_REWRITE_API_02</t>
  </si>
  <si>
    <t>1. Truy cập trang website
2. Nhập câu đúng ngữ pháp
3. Nhấn nút [Check]
4. Ngắt kết nối mạng
5. Nhấn nút [Rewrite with AI] tại mục [AI Rewrite Suggestion]</t>
  </si>
  <si>
    <t>1. Hiển thị giao diện chính của trang website.
5. Hệ thống hiển thị thông báo lỗi và giữ nguyên nội dung đã nhập.</t>
  </si>
  <si>
    <t>AI_REWRITE_API_03</t>
  </si>
  <si>
    <t>1. Truy cập trang website
2. Nhập câu đúng ngữ pháp
3. Nhấn nút [Check]
4. Giả lập API trả về lỗi HTTP 500
5. Nhấn nút [Rewrite with AI] tại mục [AI Rewrite Suggestion]</t>
  </si>
  <si>
    <t>1. Hiển thị giao diện chính của trang website.
5. Hệ thống hiển thị thông báo lỗi; ứng dụng không bị treo và các chức năng khác vẫn dùng được.</t>
  </si>
  <si>
    <t>AI_REWRITE_API_04</t>
  </si>
  <si>
    <t>1. Truy cập trang website
2. Nhập câu đúng ngữ pháp
3. Nhấn nút [Check]
4. Giả lập API trả về lỗi HTTP 429 (ví dụ: mock API)
5. Nhấn nút [Rewrite with AI]</t>
  </si>
  <si>
    <t>1. Hiển thị giao diện chính của trang website.
5. Hệ thống hiển thị thông báo lỗi từ máy chủ, ví dụ "Groq API error (status code 429)".</t>
  </si>
  <si>
    <t>AI_REWRITE_API_05</t>
  </si>
  <si>
    <t>1. Truy cập trang website
2. Nhập câu đúng ngữ pháp
3. Nhấn nút [Check]
4. Giả lập API trả về phản hồi rỗng
5. Nhấn nút [Rewrite with AI] tại mục [AI Rewrite Suggestion]</t>
  </si>
  <si>
    <t>1. Hiển thị giao diện chính của trang website.
5. Hệ thống không hiển thị kết quả sai và báo lỗi phù hợp.</t>
  </si>
  <si>
    <t>AI_REWRITE_API_06</t>
  </si>
  <si>
    <t>1. Truy cập trang website
2. Nhập câu đúng ngữ pháp
3. Nhấn nút [Check]
4. Giả lập API trả về dữ liệu không đúng định dạng REWRITTEN TEXT / IMPROVEMENTS / SUMMARY
5. Nhấn nút [Rewrite with AI] tại mục [AI Rewrite Suggestion]</t>
  </si>
  <si>
    <t>1. Hiển thị giao diện chính của trang website.
5. Ứng dụng không bị treo, không hiển thị dữ liệu sai và hiển thị thông báo lỗi.</t>
  </si>
  <si>
    <t>Kiểm thử chức năng tra cứu từ vựng</t>
  </si>
  <si>
    <t>VOCAB_LOOKUP_01</t>
  </si>
  <si>
    <t>1. Truy cập trang website
2. Nhập văn bản chứa từ cần tra rồi nhấn nút [Check]
3. Bôi chọn từ cần tra trong phần [Analysis Result]
4. Quan sát popup tra cứu</t>
  </si>
  <si>
    <t>3. Từ khóa: "student"</t>
  </si>
  <si>
    <t>1. Hiển thị giao diện chính của trang website.
4. Popup hiển thị thông tin của từ "student" gồm từ loại, phiên âm và định nghĩa tiếng Anh.</t>
  </si>
  <si>
    <t>VOCAB_LOOKUP_02</t>
  </si>
  <si>
    <t>1. Truy cập trang website
2. Nhập văn bản chứa từ cần tra rồi nhấn nút [Check]
3. Bôi chọn từ viết hoa toàn bộ trong phần [Analysis Result]
4. Quan sát popup tra cứu</t>
  </si>
  <si>
    <t>3. Từ khóa: "STUDENT"</t>
  </si>
  <si>
    <t>1. Hiển thị giao diện chính của trang website.
4. Hệ thống không phân biệt hoa/thường và hiển thị kết quả của từ "student".</t>
  </si>
  <si>
    <t>VOCAB_LOOKUP_03</t>
  </si>
  <si>
    <t>1. Truy cập trang website
2. Nhập văn bản chứa từ cần tra rồi nhấn nút [Check]
3. Bôi chọn từ có kèm khoảng trắng ở đầu và cuối
4. Quan sát popup tra cứu</t>
  </si>
  <si>
    <t>3. Từ khóa: "  student  "</t>
  </si>
  <si>
    <t>1. Hiển thị giao diện chính của trang website.
4. Khoảng trắng thừa được loại bỏ và hiển thị đúng kết quả của từ "student".</t>
  </si>
  <si>
    <t>VOCAB_LOOKUP_04</t>
  </si>
  <si>
    <t>1. Truy cập trang website
2. Nhập văn bản chứa từ cần tra rồi nhấn [Check]
3. Bôi chọn từ không có trong từ điển
4. Quan sát popup tra cứu</t>
  </si>
  <si>
    <t>3. Từ khóa: "asdfghxyz"</t>
  </si>
  <si>
    <t>1. Hiển thị giao diện chính của trang website.
4. Hệ thống hiển thị thông báo không tìm thấy từ, giao diện không bị lỗi.</t>
  </si>
  <si>
    <t>VOCAB_LOOKUP_05</t>
  </si>
  <si>
    <t>1. Truy cập trang website
2. Nhập văn bản chứa từ cần tra rồi nhấn [Check]
3. Bôi chọn từ có chứa ký tự đặc biệt
4. Quan sát popup tra cứu</t>
  </si>
  <si>
    <t>3. Từ khóa: "@@@student###"</t>
  </si>
  <si>
    <t>1. Hiển thị giao diện chính của trang website.
4. Hệ thống làm sạch ký tự lạ hoặc hiển thị thông báo phù hợp, không phát sinh lỗi.</t>
  </si>
  <si>
    <t>VOCAB_LOOKUP_06</t>
  </si>
  <si>
    <t>1. Truy cập trang website
2. Nhập văn bản chứa từ cần tra rồi nhấn nút [Check]
3. Bôi chọn vùng chỉ chứa khoảng trắng
4. Quan sát giao diện</t>
  </si>
  <si>
    <t>3. Vùng chọn: 5 dấu cách</t>
  </si>
  <si>
    <t>1. Hiển thị giao diện chính của trang website.
4. Hệ thống không gửi yêu cầu tra cứu và popup không được kích hoạt.</t>
  </si>
  <si>
    <t>VOCAB_LOOKUP_07</t>
  </si>
  <si>
    <t>1. Truy cập trang website
2. Nhập văn bản chứa từ cần tra rồi nhấn nút [Check]
3. Bôi chọn từ cần tra trong phần [Analysis Result]
4. Bôi chọn tiếp một từ khác khi popup đang hiển thị
5. Quan sát popup tra cứu</t>
  </si>
  <si>
    <t>3. Từ thứ nhất: "student"
4. Từ thứ hai: "teacher"</t>
  </si>
  <si>
    <t>1. Hiển thị giao diện chính của trang website.
5. Popup cập nhật theo từ mới và không lẫn dữ liệu của từ trước.</t>
  </si>
  <si>
    <t>VOCAB_LOOKUP_08</t>
  </si>
  <si>
    <t>1. Truy cập trang website
2. Nhập văn bản chứa từ cần tra rồi nhấn nút [Check]
3. Giả lập API từ điển phản hồi chậm
4. Bôi chọn từ cần tra trong phần [Analysis Result]
5. Quan sát popup tra cứu</t>
  </si>
  <si>
    <t>4. Từ khóa: "communication"</t>
  </si>
  <si>
    <t>1. Hiển thị giao diện chính của trang website.
5. Popup hiển thị trạng thái đang tải để người dùng không hiểu nhầm là không có kết quả.</t>
  </si>
  <si>
    <t>VOCAB_MEANING_01</t>
  </si>
  <si>
    <t>1. Truy cập trang website
2. Nhập văn bản chứa từ cần tra rồi nhấn nút [Check]
3. Bôi chọn từ cần tra trong phần [Analysis Result]
4. Xem phần định nghĩa của từ trong popup</t>
  </si>
  <si>
    <t>1. Hiển thị giao diện chính của trang website.
4. Popup hiển thị định nghĩa tiếng Anh của từ "student" lấy từ Free Dictionary API.</t>
  </si>
  <si>
    <t>VOCAB_MEANING_02</t>
  </si>
  <si>
    <t>1. Truy cập trang website
2. Nhập văn bản chứa từ cần tra rồi nhấn nút [Check]
3. Bôi chọn từ có nhiều nghĩa
4. Xem phần định nghĩa của từ trong popup</t>
  </si>
  <si>
    <t>3. Từ khóa: "book"</t>
  </si>
  <si>
    <t>1. Hiển thị giao diện chính của trang website.
4. Hiển thị đầy đủ các nghĩa phổ biến và tách bạch từng nghĩa theo từng từ loại.</t>
  </si>
  <si>
    <t>VOCAB_MEANING_03</t>
  </si>
  <si>
    <t>1. Truy cập trang website
2. Nhập văn bản chứa từ cần tra rồi nhấn nút [Check]
3. Giả lập API từ điển trả về dữ liệu không có định nghĩa
4. Bôi chọn từ cần tra trong phần [Analysis Result]
5. Xem phần định nghĩa của từ trong popup</t>
  </si>
  <si>
    <t>4. Từ khóa: "example"</t>
  </si>
  <si>
    <t>1. Hiển thị giao diện chính của trang website.
5. Không hiển thị vùng định nghĩa trống gây khó hiểu; hiển thị thông báo chưa có dữ liệu hoặc ẩn mục định nghĩa.</t>
  </si>
  <si>
    <t>VOCAB_PHONETIC_01</t>
  </si>
  <si>
    <t>1. Truy cập trang website
2. Nhập văn bản chứa từ cần tra rồi nhấn nút [Check]
3. Bôi chọn từ cần tra trong phần [Analysis Result]
4. Xem phần phiên âm trong popup</t>
  </si>
  <si>
    <t>1. Hiển thị giao diện chính của trang website.
4. Hiển thị phiên âm IPA của hai giọng UK và US (ví dụ "/ˈstjuː.dənt/", "/ˈstuː.dənt/").</t>
  </si>
  <si>
    <t>VOCAB_PHONETIC_02</t>
  </si>
  <si>
    <t>1. Truy cập trang website
2. Nhập văn bản chứa từ cần tra rồi nhấn nút [Check]
3. Giả lập API từ điển không trả về phiên âm
4. Bôi chọn từ cần tra trong phần [Analysis Result]
5. Xem phần phiên âm trong popup</t>
  </si>
  <si>
    <t>4. Từ khóa: "rareword"</t>
  </si>
  <si>
    <t>1. Hiển thị giao diện chính của trang website.
5. Hệ thống ẩn mục phiên âm hoặc hiển thị thông báo phù hợp, không hiển thị vùng trống.</t>
  </si>
  <si>
    <t>VOCAB_POS_01</t>
  </si>
  <si>
    <t>1. Truy cập trang website
2. Nhập văn bản chứa từ cần tra rồi nhấn nút [Check]
3. Bôi chọn từ cần tra trong phần [Analysis Result]
4. Xem phần từ loại trong popup</t>
  </si>
  <si>
    <t>3. Từ khóa: "beautiful"</t>
  </si>
  <si>
    <t>1. Hiển thị giao diện chính của trang website.
4. Hiển thị đúng từ loại, ví dụ "adjective".</t>
  </si>
  <si>
    <t>VOCAB_POS_02</t>
  </si>
  <si>
    <t>1. Truy cập trang website
2. Nhập văn bản chứa từ cần tra rồi nhấn nút [Check]
3. Bôi chọn từ có nhiều từ loại
4. Xem phần từ loại trong popup</t>
  </si>
  <si>
    <t>1. Hiển thị giao diện chính của trang website.
4. Hiển thị các từ loại phù hợp (ví dụ noun và verb), tách bạch rõ ràng.</t>
  </si>
  <si>
    <t>VOCAB_POS_03</t>
  </si>
  <si>
    <t>1. Truy cập trang website
2. Nhập văn bản chứa từ cần tra rồi nhấn nút [Check]
3. Giả lập API từ điển không trả về từ loại
4. Bôi chọn từ cần tra trong phần [Analysis Result]
5. Xem phần từ loại trong popup</t>
  </si>
  <si>
    <t>1. Hiển thị giao diện chính của trang website.
5. Không hiển thị nhãn từ loại trống; hệ thống ẩn mục từ loại hoặc dùng phương án thay thế theo thiết kế.</t>
  </si>
  <si>
    <t>VOCAB_TOOLTIP_01</t>
  </si>
  <si>
    <t>1. Truy cập trang website
2. Nhập văn bản chứa từ cần tra rồi nhấn nút [Check]
3. Bôi chọn từ cần tra trong phần [Analysis Result]
4. Quan sát popup</t>
  </si>
  <si>
    <t>1. Hiển thị giao diện chính của trang website.
4. Popup hiển thị nhanh, gần vị trí từ được chọn, với thông tin ngắn gọn gồm từ loại, phiên âm và định nghĩa.</t>
  </si>
  <si>
    <t>VOCAB_TOOLTIP_02</t>
  </si>
  <si>
    <t>1. Truy cập trang website
2. Nhập văn bản chứa từ cần tra rồi nhấn nút [Check]
3. Bôi chọn từ cần tra trong phần [Analysis Result]
4. Đóng popup bằng nút X hoặc nhấp ra ngoài popup
5. Quan sát giao diện</t>
  </si>
  <si>
    <t>1. Hiển thị giao diện chính của trang website.
5. Popup đóng lại khi bấm nút X hoặc nhấp ra ngoài và không che nội dung khác.</t>
  </si>
  <si>
    <t>VOCAB_TOOLTIP_03</t>
  </si>
  <si>
    <t>1. Truy cập trang website
2. Nhập văn bản chứa từ cần tra rồi nhấn nút [Check]
3. Bôi chọn từ nằm gần mép phải màn hình (trên màn hình nhỏ hoặc di động)
4. Quan sát popup</t>
  </si>
  <si>
    <t>3. Từ nằm gần mép phải màn hình</t>
  </si>
  <si>
    <t>1. Hiển thị giao diện chính của trang website.
4. Popup tự điều chỉnh vị trí, không bị cắt nội dung và không tràn khỏi màn hình.</t>
  </si>
  <si>
    <t>VOCAB_TOOLTIP_04</t>
  </si>
  <si>
    <t>1. Truy cập trang website
2. Nhập văn bản chứa từ cần tra rồi nhấn nút [Check]
3. Bôi chọn từ bằng thao tác chạm (trên điện thoại hoặc máy tính bảng)
4. Chạm ra ngoài popup</t>
  </si>
  <si>
    <t>3. Từ khóa: "communication"</t>
  </si>
  <si>
    <t>1. Hiển thị giao diện chính của trang website.
4. Popup hiển thị khi chọn từ bằng thao tác chạm.
5. Popup đóng lại khi chạm ra ngoài.</t>
  </si>
  <si>
    <t>VOCAB_USAGE_01</t>
  </si>
  <si>
    <t>1. Truy cập trang website
2. Nhập văn bản chứa từ cần tra rồi nhấn nút [Check]
3. Bôi chọn từ cần tra trong phần [Analysis Result]
4. Nhấn nút [See usage with AI] trong popup</t>
  </si>
  <si>
    <t>VOCAB_USAGE_02</t>
  </si>
  <si>
    <t>1. Truy cập trang website
2. Nhập văn bản chứa từ cần tra rồi nhấn nút [Check]
3. Bôi chọn từ cần tra trong phần [Analysis Result]
4. Nhấn nút [See usage with AI] trong popup
5. Quan sát popup ngay sau khi nhấn</t>
  </si>
  <si>
    <t>VOCAB_USAGE_03</t>
  </si>
  <si>
    <t>1. Truy cập trang website
2. Nhập văn bản chứa từ cần tra rồi nhấn nút [Check]
3. Bôi chọn thành ngữ trong phần [Analysis Result]
4. Nhấn nút [See usage with AI] trong popup</t>
  </si>
  <si>
    <t>3. Thành ngữ: "break the ice"</t>
  </si>
  <si>
    <t>1. Hiển thị giao diện chính của trang website.
4. Hệ thống hiển thị cách dùng của thành ngữ kèm nghĩa tiếng Việt, ví dụ và bản dịch.</t>
  </si>
  <si>
    <t>VOCAB_USAGE_04</t>
  </si>
  <si>
    <t>1. Truy cập trang website
2. Nhập văn bản chứa từ cần tra rồi nhấn nút [Check]
3. Bôi chọn từ cần tra trong phần [Analysis Result]
4. Giả lập API /lookup trả về lỗi
5. Nhấn nút [See usage with AI] trong popup</t>
  </si>
  <si>
    <t>VOCAB_API_01</t>
  </si>
  <si>
    <t>1. Truy cập trang website
2. Nhập văn bản chứa từ cần tra rồi nhấn nút [Check]
3. Giả lập API từ điển trả về lỗi HTTP 500
4. Bôi chọn từ cần tra trong phần [Analysis Result]
5. Quan sát phản hồi của giao diện</t>
  </si>
  <si>
    <t>4. Từ khóa: "student"</t>
  </si>
  <si>
    <t>1. Hiển thị giao diện chính của trang website.
5. Hiển thị thông báo lỗi, ứng dụng không bị treo và cho phép chọn lại từ để thử lại.</t>
  </si>
  <si>
    <t>VOCAB_API_02</t>
  </si>
  <si>
    <t>1. Truy cập trang website
2. Nhập văn bản chứa từ cần tra rồi nhấn nút [Check]
3. Giả lập API từ điển phản hồi vượt thời gian chờ
4. Bôi chọn từ cần tra trong phần [Analysis Result]
5. Quan sát phản hồi của giao diện</t>
  </si>
  <si>
    <t>4. Từ khóa: "teacher"</t>
  </si>
  <si>
    <t>1. Hiển thị giao diện chính của trang website.
5. Hiển thị thông báo hết thời gian chờ, giữ nguyên từ đã chọn và cho phép thử lại.</t>
  </si>
  <si>
    <t>TEST REPORT</t>
  </si>
  <si>
    <t>Creator</t>
  </si>
  <si>
    <t>Reviewer/Approver</t>
  </si>
  <si>
    <t>Document Code</t>
  </si>
  <si>
    <t>Issue Date</t>
  </si>
  <si>
    <t>Notes</t>
  </si>
  <si>
    <t>Module code</t>
  </si>
  <si>
    <t>Number of test cases</t>
  </si>
  <si>
    <t>Total</t>
  </si>
  <si>
    <t>Test coverage</t>
  </si>
  <si>
    <t>%</t>
  </si>
  <si>
    <t>Test successful coverage</t>
  </si>
  <si>
    <t>Priority</t>
  </si>
  <si>
    <t>1. Hiển thị giao diện chính của trang website.
4. Hệ thống trả về bản viết lại tự nhiên tại mục [Improved Version], kèm phần [IMPROVEMENTS] và [SUMMARY] giải thích thay đổi.</t>
  </si>
  <si>
    <t>1. Hiển thị giao diện chính của trang website.
4. Cả đoạn được viết lại và phần [SUMMARY] phản ánh các thay đổi chính.</t>
  </si>
  <si>
    <t>1. Hiển thị giao diện chính của trang website.
4. Mọi dòng đều được xử lý; kết quả là đoạn văn liền mạch và giữ nguyên ý gốc.</t>
  </si>
  <si>
    <t>1. Hiển thị giao diện chính của trang website.
4. Lỗi ngữ pháp và chính tả được sửa trong [Improved Version] (ví dụ "She goes to school every day.").</t>
  </si>
  <si>
    <t>1. Hiển thị giao diện chính của trang website.
4. Hệ thống xử lý theo thiết kế, ký tự tiếng Việt hiển thị đúng, không lỗi font và ứng dụng không bị lỗi.</t>
  </si>
  <si>
    <t>1. Hiển thị giao diện chính của trang website.
4. Ứng dụng không lỗi và trả về bản viết lại hợp lệ (ký tự thừa có thể được lược bỏ).</t>
  </si>
  <si>
    <t>1. Hiển thị giao diện chính của trang website.
4. Số liệu và ngày tháng được giữ đúng trong bản viết lại.</t>
  </si>
  <si>
    <t>1. Hiển thị giao diện chính của trang website.
4. Hiển thị 2-3 cách dùng gồm loại, nghĩa tiếng Việt, ví dụ tiếng Anh và bản dịch tiếng Việt của ví dụ.</t>
  </si>
  <si>
    <t>1. Hiển thị giao diện chính của trang website.
4. Popup hiển thị trạng thái đang tải và không cho gửi trùng yêu cầu trong khi chờ kết quả.</t>
  </si>
  <si>
    <t>1. Hiển thị giao diện chính của trang website.
5. Hiển thị thông báo lỗi phù hợp, phần thông tin từ điển trong popup vẫn được giữ nguyên và cho phép thử lại.</t>
  </si>
  <si>
    <t>Kiểm tra phân tích ngữ pháp với nội dung đã nhập từ tệp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</si>
</sst>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0" x14ac:knownFonts="1">
    <font>
      <sz val="11"/>
      <color theme="1"/>
      <name val="Calibri"/>
      <family val="2"/>
      <charset val="1"/>
    </font>
    <font>
      <b/>
      <sz val="20"/>
      <color theme="1"/>
      <name val="Tahoma"/>
      <family val="2"/>
      <charset val="1"/>
    </font>
    <font>
      <b/>
      <sz val="10"/>
      <color rgb="FF980000"/>
      <name val="Tahoma"/>
      <family val="2"/>
      <charset val="1"/>
    </font>
    <font>
      <sz val="11"/>
      <color rgb="FF38761D"/>
      <name val="Calibri"/>
      <family val="2"/>
      <charset val="1"/>
    </font>
    <font>
      <sz val="10"/>
      <color rgb="FF38761D"/>
      <name val="Tahoma"/>
      <family val="2"/>
      <charset val="1"/>
    </font>
    <font>
      <b/>
      <sz val="10"/>
      <color rgb="FFFFFFFF"/>
      <name val="Tahoma"/>
      <family val="2"/>
      <charset val="1"/>
    </font>
    <font>
      <sz val="10"/>
      <color theme="1"/>
      <name val="Tahoma"/>
      <family val="2"/>
      <charset val="1"/>
    </font>
    <font>
      <u/>
      <sz val="11"/>
      <color theme="10"/>
      <name val="Calibri"/>
      <family val="2"/>
      <charset val="1"/>
    </font>
    <font>
      <sz val="10"/>
      <color theme="1"/>
      <name val="Arial"/>
      <family val="2"/>
      <charset val="1"/>
    </font>
    <font>
      <b/>
      <sz val="10"/>
      <name val="Arial"/>
      <family val="2"/>
      <charset val="1"/>
    </font>
    <font>
      <sz val="11"/>
      <name val="Tahoma"/>
      <family val="2"/>
      <charset val="1"/>
    </font>
    <font>
      <b/>
      <sz val="11"/>
      <name val="Tahoma"/>
      <family val="2"/>
      <charset val="1"/>
    </font>
    <font>
      <sz val="11"/>
      <color rgb="FF00B050"/>
      <name val="Tahoma"/>
      <family val="2"/>
      <charset val="1"/>
    </font>
    <font>
      <b/>
      <sz val="11"/>
      <color rgb="FFFFFFFF"/>
      <name val="Tahoma"/>
      <family val="2"/>
      <charset val="1"/>
    </font>
    <font>
      <sz val="11"/>
      <color theme="1"/>
      <name val="Tahoma"/>
      <family val="2"/>
      <charset val="1"/>
    </font>
    <font>
      <b/>
      <sz val="10"/>
      <color rgb="FF993300"/>
      <name val="Tahoma"/>
      <family val="2"/>
      <charset val="1"/>
    </font>
    <font>
      <i/>
      <sz val="10"/>
      <color rgb="FF008000"/>
      <name val="Tahoma"/>
      <family val="2"/>
      <charset val="1"/>
    </font>
    <font>
      <sz val="10"/>
      <color rgb="FFFFFFFF"/>
      <name val="Tahoma"/>
      <family val="2"/>
      <charset val="1"/>
    </font>
    <font>
      <b/>
      <sz val="11"/>
      <color rgb="FFC00000"/>
      <name val="Tahoma"/>
      <family val="2"/>
      <charset val="1"/>
    </font>
    <font>
      <b/>
      <sz val="11"/>
      <color theme="4"/>
      <name val="Tahoma"/>
      <family val="2"/>
      <charset val="1"/>
    </font>
  </fonts>
  <fills count="8">
    <fill>
      <patternFill patternType="none"/>
    </fill>
    <fill>
      <patternFill patternType="gray125"/>
    </fill>
    <fill>
      <patternFill patternType="solid">
        <fgColor rgb="FF333399"/>
        <bgColor rgb="FF333333"/>
      </patternFill>
    </fill>
    <fill>
      <patternFill patternType="solid">
        <fgColor rgb="FFFFFFFF"/>
        <bgColor rgb="FFFFFFCC"/>
      </patternFill>
    </fill>
    <fill>
      <patternFill patternType="solid">
        <fgColor rgb="FF00CCFF"/>
        <bgColor rgb="FF33CCCC"/>
      </patternFill>
    </fill>
    <fill>
      <patternFill patternType="solid">
        <fgColor rgb="FF002060"/>
        <bgColor rgb="FF000080"/>
      </patternFill>
    </fill>
    <fill>
      <patternFill patternType="solid">
        <fgColor rgb="FFCCFFFF"/>
        <bgColor rgb="FFCCFFFF"/>
      </patternFill>
    </fill>
    <fill>
      <patternFill patternType="solid">
        <fgColor rgb="FF000080"/>
        <bgColor rgb="FF00008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diagonal/>
    </border>
    <border>
      <left/>
      <right style="hair">
        <color auto="1"/>
      </right>
      <top style="hair">
        <color auto="1"/>
      </top>
      <bottom style="hair">
        <color auto="1"/>
      </bottom>
      <diagonal/>
    </border>
    <border>
      <left style="thin">
        <color auto="1"/>
      </left>
      <right style="thin">
        <color auto="1"/>
      </right>
      <top style="thin">
        <color auto="1"/>
      </top>
      <bottom/>
      <diagonal/>
    </border>
  </borders>
  <cellStyleXfs count="2">
    <xf numFmtId="0" fontId="0" fillId="0" borderId="0"/>
    <xf numFmtId="0" fontId="7" fillId="0" borderId="0"/>
  </cellStyleXfs>
  <cellXfs count="59">
    <xf numFmtId="0" fontId="0" fillId="0" borderId="0" xfId="0"/>
    <xf numFmtId="0" fontId="15" fillId="3" borderId="1" xfId="0" applyFont="1" applyFill="1" applyBorder="1" applyAlignment="1">
      <alignmen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 fillId="0" borderId="0" xfId="0" applyFont="1" applyAlignment="1">
      <alignment horizontal="center"/>
    </xf>
    <xf numFmtId="1" fontId="5" fillId="2" borderId="2" xfId="0" applyNumberFormat="1"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1" fontId="6" fillId="3" borderId="6" xfId="0" applyNumberFormat="1" applyFont="1" applyFill="1" applyBorder="1" applyAlignment="1">
      <alignment horizontal="right" vertical="center"/>
    </xf>
    <xf numFmtId="49" fontId="6" fillId="3" borderId="3" xfId="0" applyNumberFormat="1" applyFont="1" applyFill="1" applyBorder="1" applyAlignment="1">
      <alignment vertical="center"/>
    </xf>
    <xf numFmtId="0" fontId="7" fillId="3" borderId="7" xfId="1" applyFill="1" applyBorder="1" applyAlignment="1">
      <alignment vertical="center"/>
    </xf>
    <xf numFmtId="0" fontId="8" fillId="3" borderId="7" xfId="0" applyFont="1" applyFill="1" applyBorder="1" applyAlignment="1">
      <alignment wrapText="1"/>
    </xf>
    <xf numFmtId="0" fontId="8" fillId="3" borderId="8" xfId="0" applyFont="1" applyFill="1" applyBorder="1"/>
    <xf numFmtId="49" fontId="6" fillId="3" borderId="9" xfId="0" applyNumberFormat="1" applyFont="1" applyFill="1" applyBorder="1" applyAlignment="1">
      <alignment vertical="center"/>
    </xf>
    <xf numFmtId="0" fontId="7" fillId="3" borderId="10" xfId="0" applyFont="1" applyFill="1" applyBorder="1" applyAlignment="1">
      <alignment vertical="center"/>
    </xf>
    <xf numFmtId="49" fontId="6" fillId="3" borderId="7" xfId="0" applyNumberFormat="1" applyFont="1" applyFill="1" applyBorder="1" applyAlignment="1">
      <alignment vertical="center"/>
    </xf>
    <xf numFmtId="0" fontId="9" fillId="4" borderId="1" xfId="0" applyFont="1" applyFill="1" applyBorder="1" applyAlignment="1">
      <alignment horizontal="center" vertical="center" wrapText="1"/>
    </xf>
    <xf numFmtId="0" fontId="10" fillId="0" borderId="1" xfId="0" applyFont="1" applyBorder="1" applyAlignment="1">
      <alignment vertical="center" wrapText="1"/>
    </xf>
    <xf numFmtId="0" fontId="11" fillId="0" borderId="1" xfId="0" applyFont="1" applyBorder="1" applyAlignment="1">
      <alignment horizontal="left" vertical="center" wrapText="1"/>
    </xf>
    <xf numFmtId="0" fontId="13" fillId="5"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horizontal="left" vertical="top" wrapText="1"/>
    </xf>
    <xf numFmtId="0" fontId="10" fillId="3" borderId="1" xfId="0" applyFont="1" applyFill="1" applyBorder="1" applyAlignment="1">
      <alignment horizontal="center" vertical="center" wrapText="1"/>
    </xf>
    <xf numFmtId="0" fontId="14" fillId="0" borderId="0" xfId="0" applyFont="1"/>
    <xf numFmtId="0" fontId="15" fillId="3" borderId="1" xfId="0" applyFont="1" applyFill="1" applyBorder="1" applyAlignment="1">
      <alignment vertical="center"/>
    </xf>
    <xf numFmtId="0" fontId="14" fillId="3" borderId="1" xfId="0" applyFont="1" applyFill="1" applyBorder="1" applyAlignment="1">
      <alignment vertical="top" wrapText="1"/>
    </xf>
    <xf numFmtId="0" fontId="5" fillId="7" borderId="11" xfId="0" applyFont="1" applyFill="1" applyBorder="1" applyAlignment="1">
      <alignment horizontal="center" vertical="center" wrapText="1"/>
    </xf>
    <xf numFmtId="0" fontId="6" fillId="3" borderId="1" xfId="0" applyFont="1" applyFill="1" applyBorder="1" applyAlignment="1">
      <alignment horizontal="left" wrapText="1"/>
    </xf>
    <xf numFmtId="49" fontId="6" fillId="3" borderId="1" xfId="0" applyNumberFormat="1" applyFont="1" applyFill="1" applyBorder="1" applyAlignment="1">
      <alignment horizontal="left"/>
    </xf>
    <xf numFmtId="0" fontId="14" fillId="0" borderId="1" xfId="0" applyFont="1" applyBorder="1" applyAlignment="1">
      <alignment horizontal="center"/>
    </xf>
    <xf numFmtId="0" fontId="14" fillId="3" borderId="1" xfId="0" applyFont="1" applyFill="1" applyBorder="1" applyAlignment="1">
      <alignment horizontal="left" wrapText="1"/>
    </xf>
    <xf numFmtId="0" fontId="14" fillId="7" borderId="1" xfId="0" applyFont="1" applyFill="1" applyBorder="1" applyAlignment="1">
      <alignment wrapText="1"/>
    </xf>
    <xf numFmtId="0" fontId="5" fillId="7" borderId="1" xfId="0" applyFont="1" applyFill="1" applyBorder="1" applyAlignment="1">
      <alignment wrapText="1"/>
    </xf>
    <xf numFmtId="0" fontId="17" fillId="7" borderId="1" xfId="0" applyFont="1" applyFill="1" applyBorder="1" applyAlignment="1">
      <alignment horizontal="center" wrapText="1"/>
    </xf>
    <xf numFmtId="0" fontId="18" fillId="0" borderId="0" xfId="0" applyFont="1"/>
    <xf numFmtId="0" fontId="19" fillId="0" borderId="0" xfId="0" applyFont="1"/>
    <xf numFmtId="14" fontId="13" fillId="5" borderId="1" xfId="0" applyNumberFormat="1" applyFont="1" applyFill="1" applyBorder="1" applyAlignment="1">
      <alignment horizontal="center" vertical="center" wrapText="1"/>
    </xf>
    <xf numFmtId="14" fontId="11" fillId="6" borderId="1" xfId="0" applyNumberFormat="1" applyFont="1" applyFill="1" applyBorder="1" applyAlignment="1">
      <alignment horizontal="left" vertical="center" wrapText="1"/>
    </xf>
    <xf numFmtId="14" fontId="10" fillId="0" borderId="1" xfId="0" applyNumberFormat="1" applyFont="1" applyBorder="1" applyAlignment="1">
      <alignment horizontal="center" vertical="center" wrapText="1"/>
    </xf>
    <xf numFmtId="14" fontId="0" fillId="0" borderId="0" xfId="0" applyNumberFormat="1"/>
    <xf numFmtId="0" fontId="1" fillId="0" borderId="0" xfId="0" applyFont="1" applyAlignment="1">
      <alignment horizontal="center"/>
    </xf>
    <xf numFmtId="0" fontId="2" fillId="0" borderId="1" xfId="0" applyFont="1" applyBorder="1" applyAlignment="1">
      <alignment vertical="center"/>
    </xf>
    <xf numFmtId="0" fontId="3" fillId="0" borderId="1" xfId="0" applyFont="1" applyBorder="1" applyAlignment="1">
      <alignment horizontal="left" vertical="center"/>
    </xf>
    <xf numFmtId="0" fontId="0" fillId="0" borderId="1" xfId="0" applyBorder="1"/>
    <xf numFmtId="0" fontId="4" fillId="0" borderId="1" xfId="0" applyFont="1" applyBorder="1" applyAlignment="1">
      <alignment horizontal="left" vertical="center" wrapText="1"/>
    </xf>
    <xf numFmtId="0" fontId="0" fillId="0" borderId="0" xfId="0"/>
    <xf numFmtId="0" fontId="10" fillId="0" borderId="1" xfId="0" applyFont="1" applyBorder="1" applyAlignment="1">
      <alignment horizontal="center" vertical="center" wrapText="1"/>
    </xf>
    <xf numFmtId="0" fontId="12" fillId="0" borderId="1" xfId="0" applyFont="1" applyBorder="1" applyAlignment="1">
      <alignment horizontal="left" vertical="center" wrapText="1"/>
    </xf>
    <xf numFmtId="0" fontId="11" fillId="0" borderId="1" xfId="0" applyFont="1" applyBorder="1" applyAlignment="1">
      <alignment horizontal="center" vertical="center" wrapText="1"/>
    </xf>
    <xf numFmtId="0" fontId="16" fillId="3" borderId="1" xfId="0" applyFont="1" applyFill="1" applyBorder="1" applyAlignment="1">
      <alignment wrapText="1"/>
    </xf>
    <xf numFmtId="0" fontId="15" fillId="3" borderId="1" xfId="0" applyFont="1" applyFill="1" applyBorder="1" applyAlignment="1">
      <alignment wrapText="1"/>
    </xf>
    <xf numFmtId="164" fontId="6" fillId="3" borderId="1" xfId="0" applyNumberFormat="1" applyFont="1" applyFill="1" applyBorder="1" applyAlignment="1">
      <alignment horizontal="center" wrapText="1"/>
    </xf>
    <xf numFmtId="0" fontId="16" fillId="3" borderId="1" xfId="0" applyFont="1" applyFill="1" applyBorder="1" applyAlignment="1">
      <alignment vertical="top" wrapText="1"/>
    </xf>
    <xf numFmtId="0" fontId="1" fillId="3" borderId="0" xfId="0" applyFont="1" applyFill="1" applyAlignment="1">
      <alignment horizontal="center" vertical="center" wrapText="1"/>
    </xf>
    <xf numFmtId="0" fontId="16" fillId="3" borderId="1" xfId="0" applyFont="1" applyFill="1" applyBorder="1" applyAlignment="1">
      <alignment vertical="center" wrapText="1"/>
    </xf>
    <xf numFmtId="0" fontId="15" fillId="3" borderId="1" xfId="0" applyFont="1" applyFill="1" applyBorder="1" applyAlignment="1">
      <alignment vertical="center" wrapText="1"/>
    </xf>
    <xf numFmtId="0" fontId="15" fillId="3" borderId="1" xfId="0" applyFont="1" applyFill="1" applyBorder="1" applyAlignment="1">
      <alignment horizontal="center" wrapText="1"/>
    </xf>
  </cellXfs>
  <cellStyles count="2">
    <cellStyle name="Hyperlink" xfId="1" builtinId="8"/>
    <cellStyle name="Normal" xfId="0" builtinId="0"/>
  </cellStyles>
  <dxfs count="7">
    <dxf>
      <font>
        <color rgb="FFFF0000"/>
      </font>
      <fill>
        <patternFill>
          <bgColor rgb="FFFDBCB1"/>
        </patternFill>
      </fill>
    </dxf>
    <dxf>
      <font>
        <color rgb="FF000000"/>
      </font>
      <fill>
        <patternFill>
          <bgColor theme="0"/>
        </patternFill>
      </fill>
    </dxf>
    <dxf>
      <font>
        <color rgb="FFFF0000"/>
      </font>
      <fill>
        <patternFill>
          <bgColor rgb="FFFDBCB1"/>
        </patternFill>
      </fill>
    </dxf>
    <dxf>
      <font>
        <color rgb="FFFF0000"/>
      </font>
      <fill>
        <patternFill>
          <bgColor rgb="FFFDBCB1"/>
        </patternFill>
      </fill>
    </dxf>
    <dxf>
      <font>
        <color rgb="FFFF0000"/>
      </font>
      <fill>
        <patternFill>
          <bgColor rgb="FFFDBCB1"/>
        </patternFill>
      </fill>
    </dxf>
    <dxf>
      <font>
        <color theme="1"/>
      </font>
      <fill>
        <patternFill>
          <bgColor theme="0"/>
        </patternFill>
      </fill>
    </dxf>
    <dxf>
      <font>
        <color rgb="FFFF0000"/>
      </font>
      <fill>
        <patternFill>
          <bgColor rgb="FFFDBCB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80000"/>
      <rgbColor rgb="FF008000"/>
      <rgbColor rgb="FF000080"/>
      <rgbColor rgb="FF38761D"/>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CC"/>
      <rgbColor rgb="FFCC99FF"/>
      <rgbColor rgb="FFFDBCB1"/>
      <rgbColor rgb="FF3366FF"/>
      <rgbColor rgb="FF33CCCC"/>
      <rgbColor rgb="FF99CC00"/>
      <rgbColor rgb="FFFFCC00"/>
      <rgbColor rgb="FFFF9900"/>
      <rgbColor rgb="FFFF6600"/>
      <rgbColor rgb="FF4F81BD"/>
      <rgbColor rgb="FF969696"/>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zoomScaleNormal="100" workbookViewId="0">
      <selection activeCell="E11" sqref="E11"/>
    </sheetView>
  </sheetViews>
  <sheetFormatPr defaultColWidth="8.7109375" defaultRowHeight="15" x14ac:dyDescent="0.25"/>
  <cols>
    <col min="3" max="3" width="26.5703125" customWidth="1"/>
    <col min="4" max="4" width="23.28515625" customWidth="1"/>
    <col min="5" max="5" width="41.42578125" customWidth="1"/>
    <col min="6" max="6" width="66.85546875" customWidth="1"/>
  </cols>
  <sheetData>
    <row r="1" spans="1:6" ht="15" customHeight="1" x14ac:dyDescent="0.25">
      <c r="A1" s="42" t="s">
        <v>0</v>
      </c>
      <c r="B1" s="42"/>
      <c r="C1" s="42"/>
      <c r="D1" s="42"/>
      <c r="E1" s="42"/>
      <c r="F1" s="42"/>
    </row>
    <row r="2" spans="1:6" ht="15" customHeight="1" x14ac:dyDescent="0.25">
      <c r="A2" s="42"/>
      <c r="B2" s="42"/>
      <c r="C2" s="42"/>
      <c r="D2" s="42"/>
      <c r="E2" s="42"/>
      <c r="F2" s="42"/>
    </row>
    <row r="3" spans="1:6" ht="15" customHeight="1" x14ac:dyDescent="0.25">
      <c r="A3" s="42"/>
      <c r="B3" s="43" t="s">
        <v>1</v>
      </c>
      <c r="C3" s="43"/>
      <c r="D3" s="44" t="s">
        <v>2</v>
      </c>
      <c r="E3" s="44"/>
      <c r="F3" s="44"/>
    </row>
    <row r="4" spans="1:6" ht="15" customHeight="1" x14ac:dyDescent="0.25">
      <c r="A4" s="42"/>
      <c r="B4" s="43" t="s">
        <v>3</v>
      </c>
      <c r="C4" s="43"/>
      <c r="D4" s="45"/>
      <c r="E4" s="45"/>
      <c r="F4" s="45"/>
    </row>
    <row r="5" spans="1:6" ht="45" customHeight="1" x14ac:dyDescent="0.25">
      <c r="A5" s="42"/>
      <c r="B5" s="43" t="s">
        <v>4</v>
      </c>
      <c r="C5" s="43"/>
      <c r="D5" s="46" t="s">
        <v>5</v>
      </c>
      <c r="E5" s="46"/>
      <c r="F5" s="46"/>
    </row>
    <row r="6" spans="1:6" ht="15" customHeight="1" x14ac:dyDescent="0.25">
      <c r="A6" s="42"/>
      <c r="B6" s="47"/>
      <c r="C6" s="47"/>
      <c r="D6" s="47"/>
      <c r="E6" s="47"/>
      <c r="F6" s="47"/>
    </row>
    <row r="7" spans="1:6" ht="15" customHeight="1" x14ac:dyDescent="0.25">
      <c r="A7" s="42"/>
      <c r="B7" s="5" t="s">
        <v>6</v>
      </c>
      <c r="C7" s="6" t="s">
        <v>7</v>
      </c>
      <c r="D7" s="6" t="s">
        <v>8</v>
      </c>
      <c r="E7" s="7" t="s">
        <v>9</v>
      </c>
      <c r="F7" s="8" t="s">
        <v>10</v>
      </c>
    </row>
    <row r="8" spans="1:6" ht="30.75" customHeight="1" x14ac:dyDescent="0.25">
      <c r="A8" s="42"/>
      <c r="B8" s="9">
        <v>1</v>
      </c>
      <c r="C8" s="10" t="s">
        <v>11</v>
      </c>
      <c r="D8" s="11" t="str">
        <f>HYPERLINK("#'Text Input'!A1","Text Input")</f>
        <v>Text Input</v>
      </c>
      <c r="E8" s="12" t="s">
        <v>12</v>
      </c>
      <c r="F8" s="13"/>
    </row>
    <row r="9" spans="1:6" ht="29.25" customHeight="1" x14ac:dyDescent="0.25">
      <c r="A9" s="42"/>
      <c r="B9" s="9">
        <f>B8+1</f>
        <v>2</v>
      </c>
      <c r="C9" s="14" t="s">
        <v>13</v>
      </c>
      <c r="D9" s="15" t="str">
        <f>HYPERLINK("#'Grammar Check'!A1","Grammar Check")</f>
        <v>Grammar Check</v>
      </c>
      <c r="E9" s="12" t="s">
        <v>14</v>
      </c>
      <c r="F9" s="13"/>
    </row>
    <row r="10" spans="1:6" ht="35.25" customHeight="1" x14ac:dyDescent="0.25">
      <c r="A10" s="42"/>
      <c r="B10" s="9">
        <f>B9+1</f>
        <v>3</v>
      </c>
      <c r="C10" s="14" t="s">
        <v>15</v>
      </c>
      <c r="D10" s="15" t="str">
        <f>HYPERLINK("#'AI Rewrite'!A1","AI Rewrite")</f>
        <v>AI Rewrite</v>
      </c>
      <c r="E10" s="12" t="s">
        <v>16</v>
      </c>
      <c r="F10" s="13"/>
    </row>
    <row r="11" spans="1:6" ht="48" customHeight="1" x14ac:dyDescent="0.25">
      <c r="A11" s="42"/>
      <c r="B11" s="9">
        <f>B10+1</f>
        <v>4</v>
      </c>
      <c r="C11" s="16" t="s">
        <v>17</v>
      </c>
      <c r="D11" s="15" t="str">
        <f>HYPERLINK("#'Vocab Lookup'!A1","Vocab Lookup")</f>
        <v>Vocab Lookup</v>
      </c>
      <c r="E11" s="12" t="s">
        <v>18</v>
      </c>
      <c r="F11" s="13"/>
    </row>
    <row r="21" spans="1:1" ht="25.5" customHeight="1" x14ac:dyDescent="0.35">
      <c r="A21" s="4"/>
    </row>
    <row r="22" spans="1:1" ht="25.5" customHeight="1" x14ac:dyDescent="0.35">
      <c r="A22" s="4"/>
    </row>
    <row r="23" spans="1:1" ht="25.5" customHeight="1" x14ac:dyDescent="0.35">
      <c r="A23" s="4"/>
    </row>
    <row r="24" spans="1:1" ht="25.5" customHeight="1" x14ac:dyDescent="0.35">
      <c r="A24" s="4"/>
    </row>
  </sheetData>
  <mergeCells count="9">
    <mergeCell ref="A1:F2"/>
    <mergeCell ref="A3:A11"/>
    <mergeCell ref="B3:C3"/>
    <mergeCell ref="D3:F3"/>
    <mergeCell ref="B4:C4"/>
    <mergeCell ref="D4:F4"/>
    <mergeCell ref="B5:C5"/>
    <mergeCell ref="D5:F5"/>
    <mergeCell ref="B6:F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6"/>
  <sheetViews>
    <sheetView tabSelected="1" zoomScale="121" zoomScaleNormal="160" workbookViewId="0">
      <selection activeCell="A110" sqref="A110:XFD110"/>
    </sheetView>
  </sheetViews>
  <sheetFormatPr defaultColWidth="8.7109375" defaultRowHeight="15" x14ac:dyDescent="0.25"/>
  <cols>
    <col min="1" max="1" width="24.42578125" customWidth="1"/>
    <col min="2" max="2" width="40.28515625" customWidth="1"/>
    <col min="3" max="3" width="37.85546875" customWidth="1"/>
    <col min="4" max="4" width="85.5703125" customWidth="1"/>
    <col min="5" max="5" width="14.42578125" customWidth="1"/>
    <col min="6" max="6" width="15.28515625" customWidth="1"/>
  </cols>
  <sheetData>
    <row r="1" spans="1:6" ht="22.5" customHeight="1" x14ac:dyDescent="0.25">
      <c r="A1" s="17" t="s">
        <v>19</v>
      </c>
      <c r="B1" s="17" t="s">
        <v>20</v>
      </c>
      <c r="C1" s="17" t="s">
        <v>21</v>
      </c>
      <c r="D1" s="17" t="s">
        <v>22</v>
      </c>
      <c r="E1" s="17" t="s">
        <v>23</v>
      </c>
      <c r="F1" s="17" t="s">
        <v>24</v>
      </c>
    </row>
    <row r="2" spans="1:6" ht="28.5" customHeight="1" x14ac:dyDescent="0.25">
      <c r="A2" s="18" t="s">
        <v>25</v>
      </c>
      <c r="B2" s="18" t="s">
        <v>26</v>
      </c>
      <c r="C2" s="18" t="s">
        <v>27</v>
      </c>
      <c r="D2" s="18" t="s">
        <v>28</v>
      </c>
      <c r="E2" s="18" t="s">
        <v>29</v>
      </c>
      <c r="F2" s="18"/>
    </row>
    <row r="3" spans="1:6" ht="15" customHeight="1" x14ac:dyDescent="0.25">
      <c r="A3" s="18"/>
      <c r="B3" s="18"/>
      <c r="C3" s="18"/>
      <c r="D3" s="18" t="s">
        <v>30</v>
      </c>
      <c r="E3" s="18" t="s">
        <v>29</v>
      </c>
      <c r="F3" s="18"/>
    </row>
    <row r="4" spans="1:6" ht="15" customHeight="1" x14ac:dyDescent="0.25">
      <c r="A4" s="18"/>
      <c r="B4" s="18"/>
      <c r="C4" s="18"/>
      <c r="D4" s="18" t="s">
        <v>31</v>
      </c>
      <c r="E4" s="18" t="s">
        <v>29</v>
      </c>
      <c r="F4" s="18"/>
    </row>
    <row r="5" spans="1:6" ht="15" customHeight="1" x14ac:dyDescent="0.25">
      <c r="A5" s="18"/>
      <c r="B5" s="18"/>
      <c r="C5" s="18"/>
      <c r="D5" s="18" t="s">
        <v>32</v>
      </c>
      <c r="E5" s="18" t="s">
        <v>29</v>
      </c>
      <c r="F5" s="18"/>
    </row>
    <row r="6" spans="1:6" ht="15" customHeight="1" x14ac:dyDescent="0.25">
      <c r="A6" s="18"/>
      <c r="B6" s="18"/>
      <c r="C6" s="18"/>
      <c r="D6" s="18" t="s">
        <v>33</v>
      </c>
      <c r="E6" s="18" t="s">
        <v>29</v>
      </c>
      <c r="F6" s="18"/>
    </row>
    <row r="7" spans="1:6" ht="15" customHeight="1" x14ac:dyDescent="0.25">
      <c r="A7" s="18"/>
      <c r="B7" s="18"/>
      <c r="C7" s="18"/>
      <c r="D7" s="18" t="s">
        <v>34</v>
      </c>
      <c r="E7" s="18" t="s">
        <v>29</v>
      </c>
      <c r="F7" s="18"/>
    </row>
    <row r="8" spans="1:6" ht="15" customHeight="1" x14ac:dyDescent="0.25">
      <c r="A8" s="18"/>
      <c r="B8" s="18"/>
      <c r="C8" s="18"/>
      <c r="D8" s="18" t="s">
        <v>35</v>
      </c>
      <c r="E8" s="18" t="s">
        <v>29</v>
      </c>
      <c r="F8" s="18"/>
    </row>
    <row r="9" spans="1:6" ht="15" customHeight="1" x14ac:dyDescent="0.25">
      <c r="A9" s="18"/>
      <c r="B9" s="18"/>
      <c r="C9" s="18"/>
      <c r="D9" s="18" t="s">
        <v>36</v>
      </c>
      <c r="E9" s="18" t="s">
        <v>29</v>
      </c>
      <c r="F9" s="18"/>
    </row>
    <row r="10" spans="1:6" ht="15" customHeight="1" x14ac:dyDescent="0.25">
      <c r="A10" s="18"/>
      <c r="B10" s="18"/>
      <c r="C10" s="18" t="s">
        <v>37</v>
      </c>
      <c r="D10" s="18" t="s">
        <v>38</v>
      </c>
      <c r="E10" s="18" t="s">
        <v>29</v>
      </c>
      <c r="F10" s="18"/>
    </row>
    <row r="11" spans="1:6" ht="15" customHeight="1" x14ac:dyDescent="0.25">
      <c r="A11" s="18"/>
      <c r="B11" s="18"/>
      <c r="C11" s="18"/>
      <c r="D11" s="18" t="s">
        <v>39</v>
      </c>
      <c r="E11" s="18" t="s">
        <v>29</v>
      </c>
      <c r="F11" s="18"/>
    </row>
    <row r="12" spans="1:6" ht="15" customHeight="1" x14ac:dyDescent="0.25">
      <c r="A12" s="18"/>
      <c r="B12" s="18"/>
      <c r="C12" s="18"/>
      <c r="D12" s="18" t="s">
        <v>40</v>
      </c>
      <c r="E12" s="18" t="s">
        <v>29</v>
      </c>
      <c r="F12" s="18"/>
    </row>
    <row r="13" spans="1:6" ht="15" customHeight="1" x14ac:dyDescent="0.25">
      <c r="A13" s="18"/>
      <c r="B13" s="18"/>
      <c r="C13" s="18"/>
      <c r="D13" s="18" t="s">
        <v>41</v>
      </c>
      <c r="E13" s="18" t="s">
        <v>29</v>
      </c>
      <c r="F13" s="18"/>
    </row>
    <row r="14" spans="1:6" ht="15" customHeight="1" x14ac:dyDescent="0.25">
      <c r="A14" s="18"/>
      <c r="B14" s="18"/>
      <c r="C14" s="18"/>
      <c r="D14" s="18" t="s">
        <v>42</v>
      </c>
      <c r="E14" s="18" t="s">
        <v>29</v>
      </c>
      <c r="F14" s="18"/>
    </row>
    <row r="15" spans="1:6" ht="15" customHeight="1" x14ac:dyDescent="0.25">
      <c r="A15" s="18"/>
      <c r="B15" s="18"/>
      <c r="C15" s="18" t="s">
        <v>43</v>
      </c>
      <c r="D15" s="18" t="s">
        <v>44</v>
      </c>
      <c r="E15" s="18" t="s">
        <v>29</v>
      </c>
      <c r="F15" s="18"/>
    </row>
    <row r="16" spans="1:6" ht="15" customHeight="1" x14ac:dyDescent="0.25">
      <c r="A16" s="18"/>
      <c r="B16" s="18"/>
      <c r="C16" s="18"/>
      <c r="D16" s="18" t="s">
        <v>45</v>
      </c>
      <c r="E16" s="18" t="s">
        <v>29</v>
      </c>
      <c r="F16" s="18"/>
    </row>
    <row r="17" spans="1:6" ht="15" customHeight="1" x14ac:dyDescent="0.25">
      <c r="A17" s="18"/>
      <c r="B17" s="18"/>
      <c r="C17" s="18"/>
      <c r="D17" s="18" t="s">
        <v>46</v>
      </c>
      <c r="E17" s="18" t="s">
        <v>29</v>
      </c>
      <c r="F17" s="18"/>
    </row>
    <row r="18" spans="1:6" ht="15" customHeight="1" x14ac:dyDescent="0.25">
      <c r="A18" s="18"/>
      <c r="B18" s="18"/>
      <c r="C18" s="18" t="s">
        <v>47</v>
      </c>
      <c r="D18" s="18" t="s">
        <v>48</v>
      </c>
      <c r="E18" s="18" t="s">
        <v>29</v>
      </c>
      <c r="F18" s="18"/>
    </row>
    <row r="19" spans="1:6" ht="15" customHeight="1" x14ac:dyDescent="0.25">
      <c r="A19" s="18"/>
      <c r="B19" s="18"/>
      <c r="C19" s="18"/>
      <c r="D19" s="18" t="s">
        <v>49</v>
      </c>
      <c r="E19" s="18" t="s">
        <v>29</v>
      </c>
      <c r="F19" s="18"/>
    </row>
    <row r="20" spans="1:6" ht="15" customHeight="1" x14ac:dyDescent="0.25">
      <c r="A20" s="18"/>
      <c r="B20" s="18"/>
      <c r="C20" s="18"/>
      <c r="D20" s="18" t="s">
        <v>50</v>
      </c>
      <c r="E20" s="18" t="s">
        <v>29</v>
      </c>
      <c r="F20" s="18"/>
    </row>
    <row r="21" spans="1:6" ht="15" customHeight="1" x14ac:dyDescent="0.25">
      <c r="A21" s="18"/>
      <c r="B21" s="18"/>
      <c r="C21" s="18" t="s">
        <v>51</v>
      </c>
      <c r="D21" s="18" t="s">
        <v>52</v>
      </c>
      <c r="E21" s="18" t="s">
        <v>29</v>
      </c>
      <c r="F21" s="18"/>
    </row>
    <row r="22" spans="1:6" ht="15" customHeight="1" x14ac:dyDescent="0.25">
      <c r="A22" s="18"/>
      <c r="B22" s="18"/>
      <c r="C22" s="18"/>
      <c r="D22" s="18" t="s">
        <v>53</v>
      </c>
      <c r="E22" s="18" t="s">
        <v>29</v>
      </c>
      <c r="F22" s="18"/>
    </row>
    <row r="23" spans="1:6" ht="15" customHeight="1" x14ac:dyDescent="0.25">
      <c r="A23" s="18"/>
      <c r="B23" s="18"/>
      <c r="C23" s="18"/>
      <c r="D23" s="18" t="s">
        <v>54</v>
      </c>
      <c r="E23" s="18" t="s">
        <v>29</v>
      </c>
      <c r="F23" s="18"/>
    </row>
    <row r="24" spans="1:6" ht="15" customHeight="1" x14ac:dyDescent="0.25">
      <c r="A24" s="18"/>
      <c r="B24" s="18"/>
      <c r="C24" s="18"/>
      <c r="D24" s="18" t="s">
        <v>55</v>
      </c>
      <c r="E24" s="18" t="s">
        <v>29</v>
      </c>
      <c r="F24" s="18"/>
    </row>
    <row r="25" spans="1:6" ht="15" customHeight="1" x14ac:dyDescent="0.25">
      <c r="A25" s="18"/>
      <c r="B25" s="18"/>
      <c r="C25" s="18"/>
      <c r="D25" s="18" t="s">
        <v>56</v>
      </c>
      <c r="E25" s="18" t="s">
        <v>29</v>
      </c>
      <c r="F25" s="18"/>
    </row>
    <row r="26" spans="1:6" ht="15" customHeight="1" x14ac:dyDescent="0.25">
      <c r="A26" s="18"/>
      <c r="B26" s="18"/>
      <c r="C26" s="18"/>
      <c r="D26" s="18" t="s">
        <v>57</v>
      </c>
      <c r="E26" s="18" t="s">
        <v>29</v>
      </c>
      <c r="F26" s="18"/>
    </row>
    <row r="27" spans="1:6" ht="15" customHeight="1" x14ac:dyDescent="0.25">
      <c r="A27" s="18"/>
      <c r="B27" s="18"/>
      <c r="C27" s="18"/>
      <c r="D27" s="18" t="s">
        <v>58</v>
      </c>
      <c r="E27" s="18" t="s">
        <v>29</v>
      </c>
      <c r="F27" s="18"/>
    </row>
    <row r="28" spans="1:6" ht="15" customHeight="1" x14ac:dyDescent="0.25">
      <c r="A28" s="18"/>
      <c r="B28" s="18"/>
      <c r="C28" s="18"/>
      <c r="D28" s="18" t="s">
        <v>59</v>
      </c>
      <c r="E28" s="18" t="s">
        <v>29</v>
      </c>
      <c r="F28" s="18"/>
    </row>
    <row r="29" spans="1:6" ht="15" customHeight="1" x14ac:dyDescent="0.25">
      <c r="A29" s="18"/>
      <c r="B29" s="18"/>
      <c r="C29" s="18"/>
      <c r="D29" s="18" t="s">
        <v>60</v>
      </c>
      <c r="E29" s="18" t="s">
        <v>29</v>
      </c>
      <c r="F29" s="18"/>
    </row>
    <row r="30" spans="1:6" ht="15" customHeight="1" x14ac:dyDescent="0.25">
      <c r="A30" s="18"/>
      <c r="B30" s="18"/>
      <c r="C30" s="18"/>
      <c r="D30" s="18" t="s">
        <v>586</v>
      </c>
      <c r="E30" s="18" t="s">
        <v>29</v>
      </c>
      <c r="F30" s="18"/>
    </row>
    <row r="31" spans="1:6" ht="15" customHeight="1" x14ac:dyDescent="0.25">
      <c r="A31" s="18"/>
      <c r="B31" s="18"/>
      <c r="C31" s="18"/>
      <c r="D31" s="18" t="s">
        <v>62</v>
      </c>
      <c r="E31" s="18" t="s">
        <v>29</v>
      </c>
      <c r="F31" s="18"/>
    </row>
    <row r="32" spans="1:6" ht="15" customHeight="1" x14ac:dyDescent="0.25">
      <c r="A32" s="18"/>
      <c r="B32" s="18"/>
      <c r="C32" s="18" t="s">
        <v>63</v>
      </c>
      <c r="D32" s="18" t="s">
        <v>64</v>
      </c>
      <c r="E32" s="18" t="s">
        <v>29</v>
      </c>
      <c r="F32" s="18"/>
    </row>
    <row r="33" spans="1:6" ht="15" customHeight="1" x14ac:dyDescent="0.25">
      <c r="A33" s="18"/>
      <c r="B33" s="18"/>
      <c r="C33" s="18"/>
      <c r="D33" s="18" t="s">
        <v>65</v>
      </c>
      <c r="E33" s="18" t="s">
        <v>29</v>
      </c>
      <c r="F33" s="18"/>
    </row>
    <row r="34" spans="1:6" ht="18" customHeight="1" x14ac:dyDescent="0.25">
      <c r="A34" s="18"/>
      <c r="B34" s="18"/>
      <c r="C34" s="18"/>
      <c r="D34" s="18" t="s">
        <v>66</v>
      </c>
      <c r="E34" s="18" t="s">
        <v>29</v>
      </c>
      <c r="F34" s="18"/>
    </row>
    <row r="35" spans="1:6" ht="15" customHeight="1" x14ac:dyDescent="0.25">
      <c r="A35" s="18"/>
      <c r="B35" s="18"/>
      <c r="C35" s="18"/>
      <c r="D35" s="18" t="s">
        <v>67</v>
      </c>
      <c r="E35" s="18" t="s">
        <v>29</v>
      </c>
      <c r="F35" s="18"/>
    </row>
    <row r="36" spans="1:6" ht="15" customHeight="1" x14ac:dyDescent="0.25">
      <c r="A36" s="18"/>
      <c r="B36" s="18"/>
      <c r="C36" s="18"/>
      <c r="D36" s="18" t="s">
        <v>68</v>
      </c>
      <c r="E36" s="18" t="s">
        <v>29</v>
      </c>
      <c r="F36" s="18"/>
    </row>
    <row r="37" spans="1:6" ht="15" customHeight="1" x14ac:dyDescent="0.25">
      <c r="A37" s="18"/>
      <c r="B37" s="18"/>
      <c r="C37" s="18"/>
      <c r="D37" s="18" t="s">
        <v>69</v>
      </c>
      <c r="E37" s="18" t="s">
        <v>29</v>
      </c>
      <c r="F37" s="18"/>
    </row>
    <row r="38" spans="1:6" ht="15" customHeight="1" x14ac:dyDescent="0.25">
      <c r="A38" s="18"/>
      <c r="B38" s="18"/>
      <c r="C38" s="18"/>
      <c r="D38" s="18" t="s">
        <v>70</v>
      </c>
      <c r="E38" s="18" t="s">
        <v>29</v>
      </c>
      <c r="F38" s="18"/>
    </row>
    <row r="39" spans="1:6" ht="29.25" customHeight="1" x14ac:dyDescent="0.25">
      <c r="A39" s="18" t="s">
        <v>71</v>
      </c>
      <c r="B39" s="18" t="s">
        <v>72</v>
      </c>
      <c r="C39" s="18" t="s">
        <v>73</v>
      </c>
      <c r="D39" s="18" t="s">
        <v>74</v>
      </c>
      <c r="E39" s="18" t="s">
        <v>29</v>
      </c>
      <c r="F39" s="18"/>
    </row>
    <row r="40" spans="1:6" ht="15" customHeight="1" x14ac:dyDescent="0.25">
      <c r="A40" s="18"/>
      <c r="B40" s="18"/>
      <c r="C40" s="18"/>
      <c r="D40" s="18" t="s">
        <v>75</v>
      </c>
      <c r="E40" s="18" t="s">
        <v>29</v>
      </c>
      <c r="F40" s="18"/>
    </row>
    <row r="41" spans="1:6" ht="15" customHeight="1" x14ac:dyDescent="0.25">
      <c r="A41" s="18"/>
      <c r="B41" s="18"/>
      <c r="C41" s="18"/>
      <c r="D41" s="18" t="s">
        <v>76</v>
      </c>
      <c r="E41" s="18" t="s">
        <v>29</v>
      </c>
      <c r="F41" s="18"/>
    </row>
    <row r="42" spans="1:6" ht="15" customHeight="1" x14ac:dyDescent="0.25">
      <c r="A42" s="18"/>
      <c r="B42" s="18"/>
      <c r="C42" s="18"/>
      <c r="D42" s="18" t="s">
        <v>77</v>
      </c>
      <c r="E42" s="18" t="s">
        <v>29</v>
      </c>
      <c r="F42" s="18"/>
    </row>
    <row r="43" spans="1:6" ht="15" customHeight="1" x14ac:dyDescent="0.25">
      <c r="A43" s="18"/>
      <c r="B43" s="18"/>
      <c r="C43" s="18"/>
      <c r="D43" s="18" t="s">
        <v>78</v>
      </c>
      <c r="E43" s="18" t="s">
        <v>29</v>
      </c>
      <c r="F43" s="18"/>
    </row>
    <row r="44" spans="1:6" ht="15" customHeight="1" x14ac:dyDescent="0.25">
      <c r="A44" s="18"/>
      <c r="B44" s="18"/>
      <c r="C44" s="18"/>
      <c r="D44" s="18" t="s">
        <v>79</v>
      </c>
      <c r="E44" s="18" t="s">
        <v>29</v>
      </c>
      <c r="F44" s="18"/>
    </row>
    <row r="45" spans="1:6" ht="15" customHeight="1" x14ac:dyDescent="0.25">
      <c r="A45" s="18"/>
      <c r="B45" s="18"/>
      <c r="C45" s="18"/>
      <c r="D45" s="18" t="s">
        <v>80</v>
      </c>
      <c r="E45" s="18" t="s">
        <v>29</v>
      </c>
      <c r="F45" s="18"/>
    </row>
    <row r="46" spans="1:6" ht="15" customHeight="1" x14ac:dyDescent="0.25">
      <c r="A46" s="18"/>
      <c r="B46" s="18"/>
      <c r="C46" s="18"/>
      <c r="D46" s="18" t="s">
        <v>81</v>
      </c>
      <c r="E46" s="18" t="s">
        <v>29</v>
      </c>
      <c r="F46" s="18"/>
    </row>
    <row r="47" spans="1:6" ht="15" customHeight="1" x14ac:dyDescent="0.25">
      <c r="A47" s="18"/>
      <c r="B47" s="18"/>
      <c r="C47" s="18"/>
      <c r="D47" s="18" t="s">
        <v>82</v>
      </c>
      <c r="E47" s="18" t="s">
        <v>29</v>
      </c>
      <c r="F47" s="18"/>
    </row>
    <row r="48" spans="1:6" ht="15" customHeight="1" x14ac:dyDescent="0.25">
      <c r="A48" s="18"/>
      <c r="B48" s="18"/>
      <c r="C48" s="18"/>
      <c r="D48" s="18" t="s">
        <v>83</v>
      </c>
      <c r="E48" s="18" t="s">
        <v>29</v>
      </c>
      <c r="F48" s="18"/>
    </row>
    <row r="49" spans="1:6" ht="15" customHeight="1" x14ac:dyDescent="0.25">
      <c r="A49" s="18"/>
      <c r="B49" s="18"/>
      <c r="C49" s="18"/>
      <c r="D49" s="18" t="s">
        <v>84</v>
      </c>
      <c r="E49" s="18" t="s">
        <v>29</v>
      </c>
      <c r="F49" s="18"/>
    </row>
    <row r="50" spans="1:6" ht="15" customHeight="1" x14ac:dyDescent="0.25">
      <c r="A50" s="18"/>
      <c r="B50" s="18"/>
      <c r="C50" s="18"/>
      <c r="D50" s="18" t="s">
        <v>85</v>
      </c>
      <c r="E50" s="18" t="s">
        <v>29</v>
      </c>
      <c r="F50" s="18"/>
    </row>
    <row r="51" spans="1:6" ht="15" customHeight="1" x14ac:dyDescent="0.25">
      <c r="A51" s="18"/>
      <c r="B51" s="18"/>
      <c r="C51" s="18" t="s">
        <v>86</v>
      </c>
      <c r="D51" s="18" t="s">
        <v>87</v>
      </c>
      <c r="E51" s="18" t="s">
        <v>29</v>
      </c>
      <c r="F51" s="18"/>
    </row>
    <row r="52" spans="1:6" ht="15" customHeight="1" x14ac:dyDescent="0.25">
      <c r="A52" s="18"/>
      <c r="B52" s="18"/>
      <c r="C52" s="18"/>
      <c r="D52" s="18" t="s">
        <v>88</v>
      </c>
      <c r="E52" s="18" t="s">
        <v>29</v>
      </c>
      <c r="F52" s="18"/>
    </row>
    <row r="53" spans="1:6" ht="15" customHeight="1" x14ac:dyDescent="0.25">
      <c r="A53" s="18"/>
      <c r="B53" s="18"/>
      <c r="C53" s="18"/>
      <c r="D53" s="18" t="s">
        <v>89</v>
      </c>
      <c r="E53" s="18" t="s">
        <v>29</v>
      </c>
      <c r="F53" s="18"/>
    </row>
    <row r="54" spans="1:6" ht="15" customHeight="1" x14ac:dyDescent="0.25">
      <c r="A54" s="18"/>
      <c r="B54" s="18"/>
      <c r="C54" s="18"/>
      <c r="D54" s="18" t="s">
        <v>90</v>
      </c>
      <c r="E54" s="18" t="s">
        <v>29</v>
      </c>
      <c r="F54" s="18"/>
    </row>
    <row r="55" spans="1:6" ht="15" customHeight="1" x14ac:dyDescent="0.25">
      <c r="A55" s="18"/>
      <c r="B55" s="18"/>
      <c r="C55" s="18"/>
      <c r="D55" s="18" t="s">
        <v>91</v>
      </c>
      <c r="E55" s="18" t="s">
        <v>29</v>
      </c>
      <c r="F55" s="18"/>
    </row>
    <row r="56" spans="1:6" ht="15" customHeight="1" x14ac:dyDescent="0.25">
      <c r="A56" s="18"/>
      <c r="B56" s="18"/>
      <c r="C56" s="18"/>
      <c r="D56" s="18" t="s">
        <v>92</v>
      </c>
      <c r="E56" s="18" t="s">
        <v>29</v>
      </c>
      <c r="F56" s="18"/>
    </row>
    <row r="57" spans="1:6" ht="15" customHeight="1" x14ac:dyDescent="0.25">
      <c r="A57" s="18"/>
      <c r="B57" s="18"/>
      <c r="C57" s="18" t="s">
        <v>93</v>
      </c>
      <c r="D57" s="18" t="s">
        <v>94</v>
      </c>
      <c r="E57" s="18" t="s">
        <v>29</v>
      </c>
      <c r="F57" s="18"/>
    </row>
    <row r="58" spans="1:6" ht="15" customHeight="1" x14ac:dyDescent="0.25">
      <c r="A58" s="18"/>
      <c r="B58" s="18"/>
      <c r="C58" s="18"/>
      <c r="D58" s="18" t="s">
        <v>95</v>
      </c>
      <c r="E58" s="18" t="s">
        <v>29</v>
      </c>
      <c r="F58" s="18"/>
    </row>
    <row r="59" spans="1:6" ht="13.5" customHeight="1" x14ac:dyDescent="0.25">
      <c r="A59" s="18"/>
      <c r="B59" s="18"/>
      <c r="C59" s="18"/>
      <c r="D59" s="18" t="s">
        <v>96</v>
      </c>
      <c r="E59" s="18" t="s">
        <v>29</v>
      </c>
      <c r="F59" s="18"/>
    </row>
    <row r="60" spans="1:6" ht="15" customHeight="1" x14ac:dyDescent="0.25">
      <c r="A60" s="18"/>
      <c r="B60" s="18"/>
      <c r="C60" s="18"/>
      <c r="D60" s="18" t="s">
        <v>97</v>
      </c>
      <c r="E60" s="18" t="s">
        <v>29</v>
      </c>
      <c r="F60" s="18"/>
    </row>
    <row r="61" spans="1:6" ht="15" customHeight="1" x14ac:dyDescent="0.25">
      <c r="A61" s="18"/>
      <c r="B61" s="18"/>
      <c r="C61" s="18"/>
      <c r="D61" s="18" t="s">
        <v>98</v>
      </c>
      <c r="E61" s="18" t="s">
        <v>29</v>
      </c>
      <c r="F61" s="18"/>
    </row>
    <row r="62" spans="1:6" ht="29.25" customHeight="1" x14ac:dyDescent="0.25">
      <c r="A62" s="18" t="s">
        <v>99</v>
      </c>
      <c r="B62" s="18" t="s">
        <v>100</v>
      </c>
      <c r="C62" s="18" t="s">
        <v>101</v>
      </c>
      <c r="D62" s="18" t="s">
        <v>102</v>
      </c>
      <c r="E62" s="18" t="s">
        <v>29</v>
      </c>
      <c r="F62" s="18"/>
    </row>
    <row r="63" spans="1:6" ht="15" customHeight="1" x14ac:dyDescent="0.25">
      <c r="A63" s="18"/>
      <c r="B63" s="18"/>
      <c r="C63" s="18"/>
      <c r="D63" s="18" t="s">
        <v>103</v>
      </c>
      <c r="E63" s="18" t="s">
        <v>29</v>
      </c>
      <c r="F63" s="18"/>
    </row>
    <row r="64" spans="1:6" ht="15" customHeight="1" x14ac:dyDescent="0.25">
      <c r="A64" s="18"/>
      <c r="B64" s="18"/>
      <c r="C64" s="18"/>
      <c r="D64" s="18" t="s">
        <v>104</v>
      </c>
      <c r="E64" s="18" t="s">
        <v>29</v>
      </c>
      <c r="F64" s="18"/>
    </row>
    <row r="65" spans="1:6" ht="15" customHeight="1" x14ac:dyDescent="0.25">
      <c r="A65" s="18"/>
      <c r="B65" s="18"/>
      <c r="C65" s="18"/>
      <c r="D65" s="18" t="s">
        <v>105</v>
      </c>
      <c r="E65" s="18" t="s">
        <v>29</v>
      </c>
      <c r="F65" s="18"/>
    </row>
    <row r="66" spans="1:6" ht="15" customHeight="1" x14ac:dyDescent="0.25">
      <c r="A66" s="18"/>
      <c r="B66" s="18"/>
      <c r="C66" s="18"/>
      <c r="D66" s="18" t="s">
        <v>106</v>
      </c>
      <c r="E66" s="18" t="s">
        <v>29</v>
      </c>
      <c r="F66" s="18"/>
    </row>
    <row r="67" spans="1:6" ht="15" customHeight="1" x14ac:dyDescent="0.25">
      <c r="A67" s="18"/>
      <c r="B67" s="18"/>
      <c r="C67" s="18"/>
      <c r="D67" s="18" t="s">
        <v>107</v>
      </c>
      <c r="E67" s="18" t="s">
        <v>29</v>
      </c>
      <c r="F67" s="18"/>
    </row>
    <row r="68" spans="1:6" ht="15" customHeight="1" x14ac:dyDescent="0.25">
      <c r="A68" s="18"/>
      <c r="B68" s="18"/>
      <c r="C68" s="18"/>
      <c r="D68" s="18" t="s">
        <v>108</v>
      </c>
      <c r="E68" s="18" t="s">
        <v>29</v>
      </c>
      <c r="F68" s="18"/>
    </row>
    <row r="69" spans="1:6" ht="15" customHeight="1" x14ac:dyDescent="0.25">
      <c r="A69" s="18"/>
      <c r="B69" s="18"/>
      <c r="C69" s="18"/>
      <c r="D69" s="18" t="s">
        <v>109</v>
      </c>
      <c r="E69" s="18" t="s">
        <v>29</v>
      </c>
      <c r="F69" s="18"/>
    </row>
    <row r="70" spans="1:6" ht="15" customHeight="1" x14ac:dyDescent="0.25">
      <c r="A70" s="18"/>
      <c r="B70" s="18"/>
      <c r="C70" s="18"/>
      <c r="D70" s="18" t="s">
        <v>110</v>
      </c>
      <c r="E70" s="18" t="s">
        <v>29</v>
      </c>
      <c r="F70" s="18"/>
    </row>
    <row r="71" spans="1:6" ht="15" customHeight="1" x14ac:dyDescent="0.25">
      <c r="A71" s="18"/>
      <c r="B71" s="18"/>
      <c r="C71" s="18"/>
      <c r="D71" s="18" t="s">
        <v>81</v>
      </c>
      <c r="E71" s="18" t="s">
        <v>29</v>
      </c>
      <c r="F71" s="18"/>
    </row>
    <row r="72" spans="1:6" ht="15" customHeight="1" x14ac:dyDescent="0.25">
      <c r="A72" s="18"/>
      <c r="B72" s="18"/>
      <c r="C72" s="18"/>
      <c r="D72" s="18" t="s">
        <v>111</v>
      </c>
      <c r="E72" s="18" t="s">
        <v>29</v>
      </c>
      <c r="F72" s="18"/>
    </row>
    <row r="73" spans="1:6" ht="15" customHeight="1" x14ac:dyDescent="0.25">
      <c r="A73" s="18"/>
      <c r="B73" s="18"/>
      <c r="C73" s="18"/>
      <c r="D73" s="18" t="s">
        <v>112</v>
      </c>
      <c r="E73" s="18" t="s">
        <v>29</v>
      </c>
      <c r="F73" s="18"/>
    </row>
    <row r="74" spans="1:6" ht="15.75" customHeight="1" x14ac:dyDescent="0.25">
      <c r="A74" s="18"/>
      <c r="B74" s="18"/>
      <c r="C74" s="18" t="s">
        <v>86</v>
      </c>
      <c r="D74" s="18" t="s">
        <v>113</v>
      </c>
      <c r="E74" s="18" t="s">
        <v>29</v>
      </c>
      <c r="F74" s="18"/>
    </row>
    <row r="75" spans="1:6" ht="15" customHeight="1" x14ac:dyDescent="0.25">
      <c r="A75" s="18"/>
      <c r="B75" s="18"/>
      <c r="C75" s="18"/>
      <c r="D75" s="18" t="s">
        <v>114</v>
      </c>
      <c r="E75" s="18" t="s">
        <v>29</v>
      </c>
      <c r="F75" s="18"/>
    </row>
    <row r="76" spans="1:6" ht="15" customHeight="1" x14ac:dyDescent="0.25">
      <c r="A76" s="18"/>
      <c r="B76" s="18"/>
      <c r="C76" s="18"/>
      <c r="D76" s="18" t="s">
        <v>115</v>
      </c>
      <c r="E76" s="18" t="s">
        <v>29</v>
      </c>
      <c r="F76" s="18"/>
    </row>
    <row r="77" spans="1:6" ht="15" customHeight="1" x14ac:dyDescent="0.25">
      <c r="A77" s="18"/>
      <c r="B77" s="18"/>
      <c r="C77" s="18"/>
      <c r="D77" s="18" t="s">
        <v>116</v>
      </c>
      <c r="E77" s="18" t="s">
        <v>29</v>
      </c>
      <c r="F77" s="18"/>
    </row>
    <row r="78" spans="1:6" ht="15" customHeight="1" x14ac:dyDescent="0.25">
      <c r="A78" s="18"/>
      <c r="B78" s="18"/>
      <c r="C78" s="18"/>
      <c r="D78" s="18" t="s">
        <v>117</v>
      </c>
      <c r="E78" s="18" t="s">
        <v>29</v>
      </c>
      <c r="F78" s="18"/>
    </row>
    <row r="79" spans="1:6" ht="15" customHeight="1" x14ac:dyDescent="0.25">
      <c r="A79" s="18"/>
      <c r="B79" s="18"/>
      <c r="C79" s="18" t="s">
        <v>93</v>
      </c>
      <c r="D79" s="18" t="s">
        <v>94</v>
      </c>
      <c r="E79" s="18" t="s">
        <v>29</v>
      </c>
      <c r="F79" s="18"/>
    </row>
    <row r="80" spans="1:6" ht="15" customHeight="1" x14ac:dyDescent="0.25">
      <c r="A80" s="18"/>
      <c r="B80" s="18"/>
      <c r="C80" s="18"/>
      <c r="D80" s="18" t="s">
        <v>95</v>
      </c>
      <c r="E80" s="18" t="s">
        <v>29</v>
      </c>
      <c r="F80" s="18"/>
    </row>
    <row r="81" spans="1:6" ht="15" customHeight="1" x14ac:dyDescent="0.25">
      <c r="A81" s="18"/>
      <c r="B81" s="18"/>
      <c r="C81" s="18"/>
      <c r="D81" s="18" t="s">
        <v>96</v>
      </c>
      <c r="E81" s="18" t="s">
        <v>29</v>
      </c>
      <c r="F81" s="18"/>
    </row>
    <row r="82" spans="1:6" ht="15" customHeight="1" x14ac:dyDescent="0.25">
      <c r="A82" s="18"/>
      <c r="B82" s="18"/>
      <c r="C82" s="18"/>
      <c r="D82" s="18" t="s">
        <v>118</v>
      </c>
      <c r="E82" s="18" t="s">
        <v>29</v>
      </c>
      <c r="F82" s="18"/>
    </row>
    <row r="83" spans="1:6" ht="15" customHeight="1" x14ac:dyDescent="0.25">
      <c r="A83" s="18"/>
      <c r="B83" s="18"/>
      <c r="C83" s="18"/>
      <c r="D83" s="18" t="s">
        <v>119</v>
      </c>
      <c r="E83" s="18" t="s">
        <v>29</v>
      </c>
      <c r="F83" s="18"/>
    </row>
    <row r="84" spans="1:6" ht="15" customHeight="1" x14ac:dyDescent="0.25">
      <c r="A84" s="18"/>
      <c r="B84" s="18"/>
      <c r="C84" s="18"/>
      <c r="D84" s="18" t="s">
        <v>120</v>
      </c>
      <c r="E84" s="18" t="s">
        <v>29</v>
      </c>
      <c r="F84" s="18"/>
    </row>
    <row r="85" spans="1:6" ht="15" customHeight="1" x14ac:dyDescent="0.25">
      <c r="A85" s="18" t="s">
        <v>121</v>
      </c>
      <c r="B85" s="18" t="s">
        <v>17</v>
      </c>
      <c r="C85" s="18" t="s">
        <v>122</v>
      </c>
      <c r="D85" s="18" t="s">
        <v>123</v>
      </c>
      <c r="E85" s="18" t="s">
        <v>29</v>
      </c>
      <c r="F85" s="18"/>
    </row>
    <row r="86" spans="1:6" ht="15" customHeight="1" x14ac:dyDescent="0.25">
      <c r="A86" s="18"/>
      <c r="B86" s="18"/>
      <c r="C86" s="18"/>
      <c r="D86" s="18" t="s">
        <v>124</v>
      </c>
      <c r="E86" s="18" t="s">
        <v>29</v>
      </c>
      <c r="F86" s="18"/>
    </row>
    <row r="87" spans="1:6" ht="15" customHeight="1" x14ac:dyDescent="0.25">
      <c r="A87" s="18"/>
      <c r="B87" s="18"/>
      <c r="C87" s="18"/>
      <c r="D87" s="18" t="s">
        <v>125</v>
      </c>
      <c r="E87" s="18" t="s">
        <v>29</v>
      </c>
      <c r="F87" s="18"/>
    </row>
    <row r="88" spans="1:6" ht="15" customHeight="1" x14ac:dyDescent="0.25">
      <c r="A88" s="18"/>
      <c r="B88" s="18"/>
      <c r="C88" s="18"/>
      <c r="D88" s="18" t="s">
        <v>126</v>
      </c>
      <c r="E88" s="18" t="s">
        <v>29</v>
      </c>
      <c r="F88" s="18"/>
    </row>
    <row r="89" spans="1:6" ht="15" customHeight="1" x14ac:dyDescent="0.25">
      <c r="A89" s="18"/>
      <c r="B89" s="18"/>
      <c r="C89" s="18"/>
      <c r="D89" s="18" t="s">
        <v>127</v>
      </c>
      <c r="E89" s="18" t="s">
        <v>29</v>
      </c>
      <c r="F89" s="18"/>
    </row>
    <row r="90" spans="1:6" ht="15" customHeight="1" x14ac:dyDescent="0.25">
      <c r="A90" s="18"/>
      <c r="B90" s="18"/>
      <c r="C90" s="18"/>
      <c r="D90" s="18" t="s">
        <v>128</v>
      </c>
      <c r="E90" s="18" t="s">
        <v>29</v>
      </c>
      <c r="F90" s="18"/>
    </row>
    <row r="91" spans="1:6" ht="15" customHeight="1" x14ac:dyDescent="0.25">
      <c r="A91" s="18"/>
      <c r="B91" s="18"/>
      <c r="C91" s="18"/>
      <c r="D91" s="18" t="s">
        <v>129</v>
      </c>
      <c r="E91" s="18" t="s">
        <v>29</v>
      </c>
      <c r="F91" s="18"/>
    </row>
    <row r="92" spans="1:6" ht="15" customHeight="1" x14ac:dyDescent="0.25">
      <c r="A92" s="18"/>
      <c r="B92" s="18"/>
      <c r="C92" s="18"/>
      <c r="D92" s="18" t="s">
        <v>130</v>
      </c>
      <c r="E92" s="18" t="s">
        <v>29</v>
      </c>
      <c r="F92" s="18"/>
    </row>
    <row r="93" spans="1:6" ht="15" customHeight="1" x14ac:dyDescent="0.25">
      <c r="A93" s="18"/>
      <c r="B93" s="18"/>
      <c r="C93" s="18" t="s">
        <v>131</v>
      </c>
      <c r="D93" s="18" t="s">
        <v>132</v>
      </c>
      <c r="E93" s="18" t="s">
        <v>29</v>
      </c>
      <c r="F93" s="18"/>
    </row>
    <row r="94" spans="1:6" ht="15" customHeight="1" x14ac:dyDescent="0.25">
      <c r="A94" s="18"/>
      <c r="B94" s="18"/>
      <c r="C94" s="18"/>
      <c r="D94" s="18" t="s">
        <v>133</v>
      </c>
      <c r="E94" s="18" t="s">
        <v>29</v>
      </c>
      <c r="F94" s="18"/>
    </row>
    <row r="95" spans="1:6" ht="15" customHeight="1" x14ac:dyDescent="0.25">
      <c r="A95" s="18"/>
      <c r="B95" s="18"/>
      <c r="C95" s="18"/>
      <c r="D95" s="18" t="s">
        <v>134</v>
      </c>
      <c r="E95" s="18" t="s">
        <v>29</v>
      </c>
      <c r="F95" s="18"/>
    </row>
    <row r="96" spans="1:6" ht="15" customHeight="1" x14ac:dyDescent="0.25">
      <c r="A96" s="18"/>
      <c r="B96" s="18"/>
      <c r="C96" s="18" t="s">
        <v>135</v>
      </c>
      <c r="D96" s="18" t="s">
        <v>136</v>
      </c>
      <c r="E96" s="18" t="s">
        <v>29</v>
      </c>
      <c r="F96" s="18"/>
    </row>
    <row r="97" spans="1:6" ht="15" customHeight="1" x14ac:dyDescent="0.25">
      <c r="A97" s="18"/>
      <c r="B97" s="18"/>
      <c r="C97" s="18"/>
      <c r="D97" s="18" t="s">
        <v>137</v>
      </c>
      <c r="E97" s="18" t="s">
        <v>29</v>
      </c>
      <c r="F97" s="18"/>
    </row>
    <row r="98" spans="1:6" ht="15" customHeight="1" x14ac:dyDescent="0.25">
      <c r="A98" s="18"/>
      <c r="B98" s="18"/>
      <c r="C98" s="18" t="s">
        <v>138</v>
      </c>
      <c r="D98" s="18" t="s">
        <v>139</v>
      </c>
      <c r="E98" s="18" t="s">
        <v>29</v>
      </c>
      <c r="F98" s="18"/>
    </row>
    <row r="99" spans="1:6" ht="15" customHeight="1" x14ac:dyDescent="0.25">
      <c r="A99" s="18"/>
      <c r="B99" s="18"/>
      <c r="C99" s="18"/>
      <c r="D99" s="18" t="s">
        <v>140</v>
      </c>
      <c r="E99" s="18" t="s">
        <v>29</v>
      </c>
      <c r="F99" s="18"/>
    </row>
    <row r="100" spans="1:6" ht="15" customHeight="1" x14ac:dyDescent="0.25">
      <c r="A100" s="18"/>
      <c r="B100" s="18"/>
      <c r="C100" s="18"/>
      <c r="D100" s="18" t="s">
        <v>141</v>
      </c>
      <c r="E100" s="18" t="s">
        <v>29</v>
      </c>
      <c r="F100" s="18"/>
    </row>
    <row r="101" spans="1:6" ht="15.75" customHeight="1" x14ac:dyDescent="0.25">
      <c r="A101" s="18"/>
      <c r="B101" s="18"/>
      <c r="C101" s="18" t="s">
        <v>142</v>
      </c>
      <c r="D101" s="18" t="s">
        <v>143</v>
      </c>
      <c r="E101" s="18" t="s">
        <v>29</v>
      </c>
      <c r="F101" s="18"/>
    </row>
    <row r="102" spans="1:6" ht="16.5" customHeight="1" x14ac:dyDescent="0.25">
      <c r="A102" s="18"/>
      <c r="B102" s="18"/>
      <c r="C102" s="18"/>
      <c r="D102" s="18" t="s">
        <v>144</v>
      </c>
      <c r="E102" s="18" t="s">
        <v>29</v>
      </c>
      <c r="F102" s="18"/>
    </row>
    <row r="103" spans="1:6" ht="15.75" customHeight="1" x14ac:dyDescent="0.25">
      <c r="A103" s="18"/>
      <c r="B103" s="18"/>
      <c r="C103" s="18"/>
      <c r="D103" s="18" t="s">
        <v>145</v>
      </c>
      <c r="E103" s="18" t="s">
        <v>29</v>
      </c>
      <c r="F103" s="18"/>
    </row>
    <row r="104" spans="1:6" ht="15" customHeight="1" x14ac:dyDescent="0.25">
      <c r="A104" s="18"/>
      <c r="B104" s="18"/>
      <c r="C104" s="18"/>
      <c r="D104" s="18" t="s">
        <v>146</v>
      </c>
      <c r="E104" s="18" t="s">
        <v>29</v>
      </c>
      <c r="F104" s="18"/>
    </row>
    <row r="105" spans="1:6" ht="14.25" customHeight="1" x14ac:dyDescent="0.25">
      <c r="A105" s="18"/>
      <c r="B105" s="18"/>
      <c r="C105" s="18" t="s">
        <v>147</v>
      </c>
      <c r="D105" s="18" t="s">
        <v>148</v>
      </c>
      <c r="E105" s="18" t="s">
        <v>29</v>
      </c>
      <c r="F105" s="18"/>
    </row>
    <row r="106" spans="1:6" ht="14.25" customHeight="1" x14ac:dyDescent="0.25">
      <c r="A106" s="18"/>
      <c r="B106" s="18"/>
      <c r="C106" s="18"/>
      <c r="D106" s="18" t="s">
        <v>149</v>
      </c>
      <c r="E106" s="18" t="s">
        <v>29</v>
      </c>
      <c r="F106" s="18"/>
    </row>
    <row r="107" spans="1:6" ht="13.5" customHeight="1" x14ac:dyDescent="0.25">
      <c r="A107" s="18"/>
      <c r="B107" s="18"/>
      <c r="C107" s="18"/>
      <c r="D107" s="18" t="s">
        <v>150</v>
      </c>
      <c r="E107" s="18" t="s">
        <v>29</v>
      </c>
      <c r="F107" s="18"/>
    </row>
    <row r="108" spans="1:6" ht="15" customHeight="1" x14ac:dyDescent="0.25">
      <c r="A108" s="18"/>
      <c r="B108" s="18"/>
      <c r="C108" s="18"/>
      <c r="D108" s="18" t="s">
        <v>151</v>
      </c>
      <c r="E108" s="18" t="s">
        <v>29</v>
      </c>
      <c r="F108" s="18"/>
    </row>
    <row r="109" spans="1:6" ht="15" customHeight="1" x14ac:dyDescent="0.25">
      <c r="A109" s="18"/>
      <c r="B109" s="18"/>
      <c r="C109" s="18" t="s">
        <v>93</v>
      </c>
      <c r="D109" s="18" t="s">
        <v>152</v>
      </c>
      <c r="E109" s="18" t="s">
        <v>29</v>
      </c>
      <c r="F109" s="18"/>
    </row>
    <row r="110" spans="1:6" ht="15" customHeight="1" x14ac:dyDescent="0.25">
      <c r="A110" s="18"/>
      <c r="B110" s="18"/>
      <c r="C110" s="18"/>
      <c r="D110" s="18" t="s">
        <v>153</v>
      </c>
      <c r="E110" s="18" t="s">
        <v>29</v>
      </c>
      <c r="F110" s="18"/>
    </row>
    <row r="111" spans="1:6" ht="15" customHeight="1" x14ac:dyDescent="0.25"/>
    <row r="112" spans="1:6" ht="15" customHeight="1" x14ac:dyDescent="0.25"/>
    <row r="113" ht="15" customHeight="1" x14ac:dyDescent="0.25"/>
    <row r="114" ht="15" customHeight="1" x14ac:dyDescent="0.25"/>
    <row r="115" ht="15" customHeight="1" x14ac:dyDescent="0.25"/>
    <row r="116" ht="15" customHeight="1" x14ac:dyDescent="0.25"/>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1"/>
  <sheetViews>
    <sheetView topLeftCell="D1" zoomScale="83" zoomScaleNormal="83" workbookViewId="0">
      <pane ySplit="8" topLeftCell="A49" activePane="bottomLeft" state="frozen"/>
      <selection activeCell="D1" sqref="D1"/>
      <selection pane="bottomLeft" activeCell="H54" sqref="H54"/>
    </sheetView>
  </sheetViews>
  <sheetFormatPr defaultColWidth="8.7109375" defaultRowHeight="15" x14ac:dyDescent="0.25"/>
  <cols>
    <col min="1" max="1" width="23.28515625" customWidth="1"/>
    <col min="2" max="2" width="41.85546875" customWidth="1"/>
    <col min="3" max="3" width="57.85546875" customWidth="1"/>
    <col min="4" max="4" width="40" customWidth="1"/>
    <col min="5" max="5" width="55" customWidth="1"/>
    <col min="6" max="6" width="27.85546875" customWidth="1"/>
    <col min="7" max="7" width="12.28515625" customWidth="1"/>
    <col min="8" max="8" width="12.5703125" style="41" customWidth="1"/>
    <col min="9" max="9" width="14" customWidth="1"/>
    <col min="10" max="10" width="38" customWidth="1"/>
  </cols>
  <sheetData>
    <row r="1" spans="1:10" ht="14.25" customHeight="1" x14ac:dyDescent="0.25">
      <c r="A1" s="47"/>
      <c r="B1" s="47"/>
      <c r="C1" s="47"/>
      <c r="D1" s="47"/>
      <c r="E1" s="47"/>
      <c r="F1" s="47"/>
      <c r="G1" s="47"/>
      <c r="H1" s="47"/>
      <c r="I1" s="47"/>
      <c r="J1" s="47"/>
    </row>
    <row r="2" spans="1:10" ht="17.25" customHeight="1" x14ac:dyDescent="0.25">
      <c r="A2" s="19" t="s">
        <v>154</v>
      </c>
      <c r="B2" s="49" t="s">
        <v>25</v>
      </c>
      <c r="C2" s="49"/>
      <c r="D2" s="49"/>
      <c r="E2" s="49"/>
      <c r="F2" s="49"/>
      <c r="G2" s="49"/>
      <c r="H2" s="49"/>
      <c r="I2" s="49"/>
      <c r="J2" s="49"/>
    </row>
    <row r="3" spans="1:10" ht="16.5" customHeight="1" x14ac:dyDescent="0.25">
      <c r="A3" s="19" t="s">
        <v>155</v>
      </c>
      <c r="B3" s="49" t="s">
        <v>26</v>
      </c>
      <c r="C3" s="49"/>
      <c r="D3" s="49"/>
      <c r="E3" s="49"/>
      <c r="F3" s="49"/>
      <c r="G3" s="49"/>
      <c r="H3" s="49"/>
      <c r="I3" s="49"/>
      <c r="J3" s="49"/>
    </row>
    <row r="4" spans="1:10" ht="17.25" customHeight="1" x14ac:dyDescent="0.25">
      <c r="A4" s="19" t="s">
        <v>156</v>
      </c>
      <c r="B4" s="49" t="s">
        <v>157</v>
      </c>
      <c r="C4" s="49"/>
      <c r="D4" s="49"/>
      <c r="E4" s="49"/>
      <c r="F4" s="49"/>
      <c r="G4" s="49"/>
      <c r="H4" s="49"/>
      <c r="I4" s="49"/>
      <c r="J4" s="49"/>
    </row>
    <row r="5" spans="1:10" ht="17.25" customHeight="1" x14ac:dyDescent="0.25">
      <c r="A5" s="3" t="s">
        <v>158</v>
      </c>
      <c r="B5" s="3" t="s">
        <v>159</v>
      </c>
      <c r="C5" s="3" t="s">
        <v>160</v>
      </c>
      <c r="D5" s="3" t="s">
        <v>161</v>
      </c>
      <c r="E5" s="3" t="s">
        <v>162</v>
      </c>
      <c r="F5" s="3" t="s">
        <v>163</v>
      </c>
      <c r="G5" s="50"/>
      <c r="H5" s="50"/>
      <c r="I5" s="50"/>
      <c r="J5" s="50"/>
    </row>
    <row r="6" spans="1:10" ht="19.5" customHeight="1" x14ac:dyDescent="0.25">
      <c r="A6" s="2">
        <f>COUNTIF($G$10:$G$995,"Passed")</f>
        <v>36</v>
      </c>
      <c r="B6" s="2">
        <f>COUNTIF($G$10:$G$995,"Failed")</f>
        <v>1</v>
      </c>
      <c r="C6" s="2">
        <f>COUNTIF($G$10:$G$995,"Untested")</f>
        <v>0</v>
      </c>
      <c r="D6" s="2">
        <f>COUNTIF($G$10:$G$995,"Blocked")</f>
        <v>0</v>
      </c>
      <c r="E6" s="2">
        <f>COUNTIF($G$10:$G$995,"Skipped")</f>
        <v>0</v>
      </c>
      <c r="F6" s="2">
        <f>COUNTA($A$10:$A$995)</f>
        <v>37</v>
      </c>
      <c r="G6" s="48"/>
      <c r="H6" s="48"/>
      <c r="I6" s="48"/>
      <c r="J6" s="48"/>
    </row>
    <row r="7" spans="1:10" ht="19.5" customHeight="1" x14ac:dyDescent="0.25">
      <c r="A7" s="47"/>
      <c r="B7" s="47"/>
      <c r="C7" s="47"/>
      <c r="D7" s="47"/>
      <c r="E7" s="47"/>
      <c r="F7" s="47"/>
      <c r="G7" s="47"/>
      <c r="H7" s="47"/>
      <c r="I7" s="47"/>
      <c r="J7" s="47"/>
    </row>
    <row r="8" spans="1:10" ht="33" customHeight="1" x14ac:dyDescent="0.25">
      <c r="A8" s="20" t="s">
        <v>164</v>
      </c>
      <c r="B8" s="20" t="s">
        <v>165</v>
      </c>
      <c r="C8" s="20" t="s">
        <v>166</v>
      </c>
      <c r="D8" s="20" t="s">
        <v>167</v>
      </c>
      <c r="E8" s="20" t="s">
        <v>168</v>
      </c>
      <c r="F8" s="20" t="s">
        <v>169</v>
      </c>
      <c r="G8" s="20" t="s">
        <v>170</v>
      </c>
      <c r="H8" s="38" t="s">
        <v>171</v>
      </c>
      <c r="I8" s="20" t="s">
        <v>575</v>
      </c>
      <c r="J8" s="20" t="s">
        <v>24</v>
      </c>
    </row>
    <row r="9" spans="1:10" ht="21" customHeight="1" x14ac:dyDescent="0.25">
      <c r="A9" s="21"/>
      <c r="B9" s="21" t="s">
        <v>27</v>
      </c>
      <c r="C9" s="21"/>
      <c r="D9" s="21"/>
      <c r="E9" s="21"/>
      <c r="F9" s="21"/>
      <c r="G9" s="21"/>
      <c r="H9" s="39"/>
      <c r="I9" s="21"/>
      <c r="J9" s="21"/>
    </row>
    <row r="10" spans="1:10" ht="66" customHeight="1" x14ac:dyDescent="0.25">
      <c r="A10" s="2" t="s">
        <v>172</v>
      </c>
      <c r="B10" s="22" t="s">
        <v>28</v>
      </c>
      <c r="C10" s="23" t="s">
        <v>173</v>
      </c>
      <c r="D10" s="23" t="s">
        <v>174</v>
      </c>
      <c r="E10" s="23" t="s">
        <v>175</v>
      </c>
      <c r="F10" s="2" t="s">
        <v>176</v>
      </c>
      <c r="G10" s="2" t="s">
        <v>158</v>
      </c>
      <c r="H10" s="40">
        <v>46316</v>
      </c>
      <c r="I10" s="2" t="s">
        <v>177</v>
      </c>
      <c r="J10" s="22"/>
    </row>
    <row r="11" spans="1:10" ht="66" customHeight="1" x14ac:dyDescent="0.25">
      <c r="A11" s="2" t="s">
        <v>178</v>
      </c>
      <c r="B11" s="22" t="s">
        <v>30</v>
      </c>
      <c r="C11" s="23" t="s">
        <v>179</v>
      </c>
      <c r="D11" s="23" t="s">
        <v>180</v>
      </c>
      <c r="E11" s="23" t="s">
        <v>181</v>
      </c>
      <c r="F11" s="2" t="s">
        <v>176</v>
      </c>
      <c r="G11" s="2" t="s">
        <v>158</v>
      </c>
      <c r="H11" s="40">
        <v>46316</v>
      </c>
      <c r="I11" s="2" t="s">
        <v>177</v>
      </c>
      <c r="J11" s="22"/>
    </row>
    <row r="12" spans="1:10" ht="64.5" customHeight="1" x14ac:dyDescent="0.25">
      <c r="A12" s="2" t="s">
        <v>182</v>
      </c>
      <c r="B12" s="22" t="s">
        <v>31</v>
      </c>
      <c r="C12" s="23" t="s">
        <v>183</v>
      </c>
      <c r="D12" s="23" t="s">
        <v>184</v>
      </c>
      <c r="E12" s="23" t="s">
        <v>185</v>
      </c>
      <c r="F12" s="2" t="s">
        <v>176</v>
      </c>
      <c r="G12" s="2" t="s">
        <v>158</v>
      </c>
      <c r="H12" s="40">
        <v>46316</v>
      </c>
      <c r="I12" s="2" t="s">
        <v>186</v>
      </c>
      <c r="J12" s="22"/>
    </row>
    <row r="13" spans="1:10" ht="66" customHeight="1" x14ac:dyDescent="0.25">
      <c r="A13" s="2" t="s">
        <v>187</v>
      </c>
      <c r="B13" s="22" t="s">
        <v>32</v>
      </c>
      <c r="C13" s="23" t="s">
        <v>188</v>
      </c>
      <c r="D13" s="23" t="s">
        <v>189</v>
      </c>
      <c r="E13" s="23" t="s">
        <v>190</v>
      </c>
      <c r="F13" s="2" t="s">
        <v>176</v>
      </c>
      <c r="G13" s="2" t="s">
        <v>158</v>
      </c>
      <c r="H13" s="40">
        <v>46316</v>
      </c>
      <c r="I13" s="2" t="s">
        <v>177</v>
      </c>
      <c r="J13" s="22"/>
    </row>
    <row r="14" spans="1:10" ht="66" customHeight="1" x14ac:dyDescent="0.25">
      <c r="A14" s="2" t="s">
        <v>191</v>
      </c>
      <c r="B14" s="22" t="s">
        <v>33</v>
      </c>
      <c r="C14" s="23" t="s">
        <v>192</v>
      </c>
      <c r="D14" s="23" t="s">
        <v>193</v>
      </c>
      <c r="E14" s="23" t="s">
        <v>194</v>
      </c>
      <c r="F14" s="2" t="s">
        <v>176</v>
      </c>
      <c r="G14" s="2" t="s">
        <v>158</v>
      </c>
      <c r="H14" s="40">
        <v>46316</v>
      </c>
      <c r="I14" s="2" t="s">
        <v>177</v>
      </c>
      <c r="J14" s="22"/>
    </row>
    <row r="15" spans="1:10" ht="66" customHeight="1" x14ac:dyDescent="0.25">
      <c r="A15" s="2" t="s">
        <v>195</v>
      </c>
      <c r="B15" s="22" t="s">
        <v>34</v>
      </c>
      <c r="C15" s="23" t="s">
        <v>196</v>
      </c>
      <c r="D15" s="23" t="s">
        <v>197</v>
      </c>
      <c r="E15" s="23" t="s">
        <v>198</v>
      </c>
      <c r="F15" s="2" t="s">
        <v>176</v>
      </c>
      <c r="G15" s="2" t="s">
        <v>158</v>
      </c>
      <c r="H15" s="40">
        <v>46316</v>
      </c>
      <c r="I15" s="2" t="s">
        <v>177</v>
      </c>
      <c r="J15" s="22"/>
    </row>
    <row r="16" spans="1:10" ht="66" customHeight="1" x14ac:dyDescent="0.25">
      <c r="A16" s="2" t="s">
        <v>199</v>
      </c>
      <c r="B16" s="22" t="s">
        <v>35</v>
      </c>
      <c r="C16" s="23" t="s">
        <v>200</v>
      </c>
      <c r="D16" s="23" t="s">
        <v>201</v>
      </c>
      <c r="E16" s="23" t="s">
        <v>202</v>
      </c>
      <c r="F16" s="2" t="s">
        <v>176</v>
      </c>
      <c r="G16" s="2" t="s">
        <v>158</v>
      </c>
      <c r="H16" s="40">
        <v>46316</v>
      </c>
      <c r="I16" s="2" t="s">
        <v>177</v>
      </c>
      <c r="J16" s="22"/>
    </row>
    <row r="17" spans="1:10" ht="66" customHeight="1" x14ac:dyDescent="0.25">
      <c r="A17" s="2" t="s">
        <v>203</v>
      </c>
      <c r="B17" s="22" t="s">
        <v>36</v>
      </c>
      <c r="C17" s="23" t="s">
        <v>204</v>
      </c>
      <c r="D17" s="23" t="s">
        <v>205</v>
      </c>
      <c r="E17" s="23" t="s">
        <v>206</v>
      </c>
      <c r="F17" s="2" t="s">
        <v>176</v>
      </c>
      <c r="G17" s="2" t="s">
        <v>159</v>
      </c>
      <c r="H17" s="40">
        <v>46316</v>
      </c>
      <c r="I17" s="2" t="s">
        <v>177</v>
      </c>
      <c r="J17" s="22"/>
    </row>
    <row r="18" spans="1:10" ht="21" customHeight="1" x14ac:dyDescent="0.25">
      <c r="A18" s="21"/>
      <c r="B18" s="21" t="s">
        <v>37</v>
      </c>
      <c r="C18" s="21"/>
      <c r="D18" s="21"/>
      <c r="E18" s="21"/>
      <c r="F18" s="21"/>
      <c r="G18" s="21"/>
      <c r="H18" s="39"/>
      <c r="I18" s="21"/>
      <c r="J18" s="21"/>
    </row>
    <row r="19" spans="1:10" ht="51" customHeight="1" x14ac:dyDescent="0.25">
      <c r="A19" s="2" t="s">
        <v>207</v>
      </c>
      <c r="B19" s="22" t="s">
        <v>38</v>
      </c>
      <c r="C19" s="23" t="s">
        <v>208</v>
      </c>
      <c r="D19" s="23" t="s">
        <v>209</v>
      </c>
      <c r="E19" s="23" t="s">
        <v>210</v>
      </c>
      <c r="F19" s="2" t="s">
        <v>176</v>
      </c>
      <c r="G19" s="2" t="s">
        <v>158</v>
      </c>
      <c r="H19" s="40">
        <v>46316</v>
      </c>
      <c r="I19" s="2" t="s">
        <v>177</v>
      </c>
      <c r="J19" s="22"/>
    </row>
    <row r="20" spans="1:10" ht="51" customHeight="1" x14ac:dyDescent="0.25">
      <c r="A20" s="2" t="s">
        <v>211</v>
      </c>
      <c r="B20" s="22" t="s">
        <v>39</v>
      </c>
      <c r="C20" s="23" t="s">
        <v>208</v>
      </c>
      <c r="D20" s="23" t="s">
        <v>212</v>
      </c>
      <c r="E20" s="23" t="s">
        <v>213</v>
      </c>
      <c r="F20" s="2" t="s">
        <v>176</v>
      </c>
      <c r="G20" s="2" t="s">
        <v>158</v>
      </c>
      <c r="H20" s="40">
        <v>46316</v>
      </c>
      <c r="I20" s="2" t="s">
        <v>177</v>
      </c>
      <c r="J20" s="22"/>
    </row>
    <row r="21" spans="1:10" ht="66" customHeight="1" x14ac:dyDescent="0.25">
      <c r="A21" s="2" t="s">
        <v>214</v>
      </c>
      <c r="B21" s="22" t="s">
        <v>40</v>
      </c>
      <c r="C21" s="23" t="s">
        <v>215</v>
      </c>
      <c r="D21" s="23" t="s">
        <v>216</v>
      </c>
      <c r="E21" s="23" t="s">
        <v>217</v>
      </c>
      <c r="F21" s="2" t="s">
        <v>176</v>
      </c>
      <c r="G21" s="2" t="s">
        <v>158</v>
      </c>
      <c r="H21" s="40">
        <v>46316</v>
      </c>
      <c r="I21" s="2" t="s">
        <v>177</v>
      </c>
      <c r="J21" s="22"/>
    </row>
    <row r="22" spans="1:10" ht="57" customHeight="1" x14ac:dyDescent="0.25">
      <c r="A22" s="2" t="s">
        <v>218</v>
      </c>
      <c r="B22" s="22" t="s">
        <v>41</v>
      </c>
      <c r="C22" s="23" t="s">
        <v>208</v>
      </c>
      <c r="D22" s="23" t="s">
        <v>219</v>
      </c>
      <c r="E22" s="23" t="s">
        <v>220</v>
      </c>
      <c r="F22" s="2" t="s">
        <v>176</v>
      </c>
      <c r="G22" s="2" t="s">
        <v>158</v>
      </c>
      <c r="H22" s="40">
        <v>46316</v>
      </c>
      <c r="I22" s="2" t="s">
        <v>177</v>
      </c>
      <c r="J22" s="22"/>
    </row>
    <row r="23" spans="1:10" ht="51" customHeight="1" x14ac:dyDescent="0.25">
      <c r="A23" s="2" t="s">
        <v>221</v>
      </c>
      <c r="B23" s="22" t="s">
        <v>42</v>
      </c>
      <c r="C23" s="23" t="s">
        <v>208</v>
      </c>
      <c r="D23" s="23" t="s">
        <v>222</v>
      </c>
      <c r="E23" s="23" t="s">
        <v>223</v>
      </c>
      <c r="F23" s="2" t="s">
        <v>176</v>
      </c>
      <c r="G23" s="2" t="s">
        <v>158</v>
      </c>
      <c r="H23" s="40">
        <v>46316</v>
      </c>
      <c r="I23" s="2" t="s">
        <v>177</v>
      </c>
      <c r="J23" s="22"/>
    </row>
    <row r="24" spans="1:10" ht="21" customHeight="1" x14ac:dyDescent="0.25">
      <c r="A24" s="21"/>
      <c r="B24" s="21" t="s">
        <v>43</v>
      </c>
      <c r="C24" s="21"/>
      <c r="D24" s="21"/>
      <c r="E24" s="21"/>
      <c r="F24" s="21"/>
      <c r="G24" s="21"/>
      <c r="H24" s="39"/>
      <c r="I24" s="21"/>
      <c r="J24" s="21"/>
    </row>
    <row r="25" spans="1:10" ht="51" customHeight="1" x14ac:dyDescent="0.25">
      <c r="A25" s="2" t="s">
        <v>224</v>
      </c>
      <c r="B25" s="22" t="s">
        <v>44</v>
      </c>
      <c r="C25" s="23" t="s">
        <v>225</v>
      </c>
      <c r="D25" s="23"/>
      <c r="E25" s="23" t="s">
        <v>226</v>
      </c>
      <c r="F25" s="2" t="s">
        <v>176</v>
      </c>
      <c r="G25" s="2" t="s">
        <v>158</v>
      </c>
      <c r="H25" s="40">
        <v>46316</v>
      </c>
      <c r="I25" s="2" t="s">
        <v>177</v>
      </c>
      <c r="J25" s="22"/>
    </row>
    <row r="26" spans="1:10" ht="51" customHeight="1" x14ac:dyDescent="0.25">
      <c r="A26" s="2" t="s">
        <v>227</v>
      </c>
      <c r="B26" s="22" t="s">
        <v>45</v>
      </c>
      <c r="C26" s="23" t="s">
        <v>225</v>
      </c>
      <c r="D26" s="23"/>
      <c r="E26" s="23" t="s">
        <v>228</v>
      </c>
      <c r="F26" s="2" t="s">
        <v>176</v>
      </c>
      <c r="G26" s="2" t="s">
        <v>158</v>
      </c>
      <c r="H26" s="40">
        <v>46316</v>
      </c>
      <c r="I26" s="2" t="s">
        <v>177</v>
      </c>
      <c r="J26" s="22"/>
    </row>
    <row r="27" spans="1:10" ht="66" customHeight="1" x14ac:dyDescent="0.25">
      <c r="A27" s="2" t="s">
        <v>229</v>
      </c>
      <c r="B27" s="22" t="s">
        <v>46</v>
      </c>
      <c r="C27" s="23" t="s">
        <v>225</v>
      </c>
      <c r="D27" s="23"/>
      <c r="E27" s="23" t="s">
        <v>230</v>
      </c>
      <c r="F27" s="2" t="s">
        <v>176</v>
      </c>
      <c r="G27" s="2" t="s">
        <v>158</v>
      </c>
      <c r="H27" s="40">
        <v>46316</v>
      </c>
      <c r="I27" s="2" t="s">
        <v>177</v>
      </c>
      <c r="J27" s="22"/>
    </row>
    <row r="28" spans="1:10" ht="21" customHeight="1" x14ac:dyDescent="0.25">
      <c r="A28" s="21"/>
      <c r="B28" s="21" t="s">
        <v>47</v>
      </c>
      <c r="C28" s="21"/>
      <c r="D28" s="21"/>
      <c r="E28" s="21"/>
      <c r="F28" s="21"/>
      <c r="G28" s="21"/>
      <c r="H28" s="39"/>
      <c r="I28" s="21"/>
      <c r="J28" s="21"/>
    </row>
    <row r="29" spans="1:10" ht="51" customHeight="1" x14ac:dyDescent="0.25">
      <c r="A29" s="2" t="s">
        <v>231</v>
      </c>
      <c r="B29" s="22" t="s">
        <v>48</v>
      </c>
      <c r="C29" s="23" t="s">
        <v>232</v>
      </c>
      <c r="D29" s="23" t="s">
        <v>233</v>
      </c>
      <c r="E29" s="23" t="s">
        <v>234</v>
      </c>
      <c r="F29" s="2" t="s">
        <v>176</v>
      </c>
      <c r="G29" s="2" t="s">
        <v>158</v>
      </c>
      <c r="H29" s="40">
        <v>46316</v>
      </c>
      <c r="I29" s="2" t="s">
        <v>177</v>
      </c>
      <c r="J29" s="22"/>
    </row>
    <row r="30" spans="1:10" ht="51" customHeight="1" x14ac:dyDescent="0.25">
      <c r="A30" s="2" t="s">
        <v>235</v>
      </c>
      <c r="B30" s="22" t="s">
        <v>49</v>
      </c>
      <c r="C30" s="23" t="s">
        <v>236</v>
      </c>
      <c r="D30" s="23"/>
      <c r="E30" s="23" t="s">
        <v>237</v>
      </c>
      <c r="F30" s="2" t="s">
        <v>176</v>
      </c>
      <c r="G30" s="2" t="s">
        <v>158</v>
      </c>
      <c r="H30" s="40">
        <v>46316</v>
      </c>
      <c r="I30" s="2" t="s">
        <v>177</v>
      </c>
      <c r="J30" s="22"/>
    </row>
    <row r="31" spans="1:10" ht="81" customHeight="1" x14ac:dyDescent="0.25">
      <c r="A31" s="2" t="s">
        <v>238</v>
      </c>
      <c r="B31" s="22" t="s">
        <v>50</v>
      </c>
      <c r="C31" s="23" t="s">
        <v>239</v>
      </c>
      <c r="D31" s="23"/>
      <c r="E31" s="23" t="s">
        <v>240</v>
      </c>
      <c r="F31" s="2" t="s">
        <v>176</v>
      </c>
      <c r="G31" s="2" t="s">
        <v>158</v>
      </c>
      <c r="H31" s="40">
        <v>46316</v>
      </c>
      <c r="I31" s="2" t="s">
        <v>177</v>
      </c>
      <c r="J31" s="22"/>
    </row>
    <row r="32" spans="1:10" ht="21" customHeight="1" x14ac:dyDescent="0.25">
      <c r="A32" s="21"/>
      <c r="B32" s="21" t="s">
        <v>51</v>
      </c>
      <c r="C32" s="21"/>
      <c r="D32" s="21"/>
      <c r="E32" s="21"/>
      <c r="F32" s="21"/>
      <c r="G32" s="21"/>
      <c r="H32" s="39"/>
      <c r="I32" s="21"/>
      <c r="J32" s="21"/>
    </row>
    <row r="33" spans="1:10" ht="66" customHeight="1" x14ac:dyDescent="0.25">
      <c r="A33" s="2" t="s">
        <v>241</v>
      </c>
      <c r="B33" s="22" t="s">
        <v>52</v>
      </c>
      <c r="C33" s="23" t="s">
        <v>242</v>
      </c>
      <c r="D33" s="23" t="s">
        <v>243</v>
      </c>
      <c r="E33" s="23" t="s">
        <v>244</v>
      </c>
      <c r="F33" s="2" t="s">
        <v>176</v>
      </c>
      <c r="G33" s="2" t="s">
        <v>158</v>
      </c>
      <c r="H33" s="40">
        <v>46316</v>
      </c>
      <c r="I33" s="2" t="s">
        <v>177</v>
      </c>
      <c r="J33" s="22"/>
    </row>
    <row r="34" spans="1:10" ht="66" customHeight="1" x14ac:dyDescent="0.25">
      <c r="A34" s="2" t="s">
        <v>245</v>
      </c>
      <c r="B34" s="22" t="s">
        <v>53</v>
      </c>
      <c r="C34" s="23" t="s">
        <v>246</v>
      </c>
      <c r="D34" s="23" t="s">
        <v>247</v>
      </c>
      <c r="E34" s="23" t="s">
        <v>248</v>
      </c>
      <c r="F34" s="2" t="s">
        <v>241</v>
      </c>
      <c r="G34" s="2" t="s">
        <v>158</v>
      </c>
      <c r="H34" s="40">
        <v>46316</v>
      </c>
      <c r="I34" s="2" t="s">
        <v>177</v>
      </c>
      <c r="J34" s="22"/>
    </row>
    <row r="35" spans="1:10" ht="81" customHeight="1" x14ac:dyDescent="0.25">
      <c r="A35" s="2" t="s">
        <v>249</v>
      </c>
      <c r="B35" s="22" t="s">
        <v>54</v>
      </c>
      <c r="C35" s="23" t="s">
        <v>250</v>
      </c>
      <c r="D35" s="23" t="s">
        <v>251</v>
      </c>
      <c r="E35" s="23" t="s">
        <v>252</v>
      </c>
      <c r="F35" s="2" t="s">
        <v>176</v>
      </c>
      <c r="G35" s="2" t="s">
        <v>158</v>
      </c>
      <c r="H35" s="40">
        <v>46316</v>
      </c>
      <c r="I35" s="2" t="s">
        <v>186</v>
      </c>
      <c r="J35" s="22"/>
    </row>
    <row r="36" spans="1:10" ht="66" customHeight="1" x14ac:dyDescent="0.25">
      <c r="A36" s="2" t="s">
        <v>253</v>
      </c>
      <c r="B36" s="22" t="s">
        <v>55</v>
      </c>
      <c r="C36" s="23" t="s">
        <v>254</v>
      </c>
      <c r="D36" s="23" t="s">
        <v>255</v>
      </c>
      <c r="E36" s="23" t="s">
        <v>256</v>
      </c>
      <c r="F36" s="2" t="s">
        <v>176</v>
      </c>
      <c r="G36" s="2" t="s">
        <v>158</v>
      </c>
      <c r="H36" s="40">
        <v>46316</v>
      </c>
      <c r="I36" s="2" t="s">
        <v>177</v>
      </c>
      <c r="J36" s="22"/>
    </row>
    <row r="37" spans="1:10" ht="66" customHeight="1" x14ac:dyDescent="0.25">
      <c r="A37" s="2" t="s">
        <v>257</v>
      </c>
      <c r="B37" s="22" t="s">
        <v>56</v>
      </c>
      <c r="C37" s="23" t="s">
        <v>258</v>
      </c>
      <c r="D37" s="23" t="s">
        <v>259</v>
      </c>
      <c r="E37" s="23" t="s">
        <v>260</v>
      </c>
      <c r="F37" s="2" t="s">
        <v>241</v>
      </c>
      <c r="G37" s="2" t="s">
        <v>158</v>
      </c>
      <c r="H37" s="40">
        <v>46316</v>
      </c>
      <c r="I37" s="2" t="s">
        <v>186</v>
      </c>
      <c r="J37" s="22"/>
    </row>
    <row r="38" spans="1:10" ht="81" customHeight="1" x14ac:dyDescent="0.25">
      <c r="A38" s="2" t="s">
        <v>261</v>
      </c>
      <c r="B38" s="22" t="s">
        <v>57</v>
      </c>
      <c r="C38" s="23" t="s">
        <v>262</v>
      </c>
      <c r="D38" s="23" t="s">
        <v>263</v>
      </c>
      <c r="E38" s="23" t="s">
        <v>264</v>
      </c>
      <c r="F38" s="2" t="s">
        <v>265</v>
      </c>
      <c r="G38" s="2" t="s">
        <v>158</v>
      </c>
      <c r="H38" s="40">
        <v>46316</v>
      </c>
      <c r="I38" s="2" t="s">
        <v>177</v>
      </c>
      <c r="J38" s="22"/>
    </row>
    <row r="39" spans="1:10" ht="81" customHeight="1" x14ac:dyDescent="0.25">
      <c r="A39" s="2" t="s">
        <v>266</v>
      </c>
      <c r="B39" s="22" t="s">
        <v>58</v>
      </c>
      <c r="C39" s="23" t="s">
        <v>267</v>
      </c>
      <c r="D39" s="23" t="s">
        <v>268</v>
      </c>
      <c r="E39" s="23" t="s">
        <v>269</v>
      </c>
      <c r="F39" s="2" t="s">
        <v>176</v>
      </c>
      <c r="G39" s="2" t="s">
        <v>158</v>
      </c>
      <c r="H39" s="40">
        <v>46316</v>
      </c>
      <c r="I39" s="2" t="s">
        <v>186</v>
      </c>
      <c r="J39" s="22"/>
    </row>
    <row r="40" spans="1:10" ht="66" customHeight="1" x14ac:dyDescent="0.25">
      <c r="A40" s="2" t="s">
        <v>270</v>
      </c>
      <c r="B40" s="22" t="s">
        <v>59</v>
      </c>
      <c r="C40" s="23" t="s">
        <v>271</v>
      </c>
      <c r="D40" s="23" t="s">
        <v>272</v>
      </c>
      <c r="E40" s="23" t="s">
        <v>273</v>
      </c>
      <c r="F40" s="2" t="s">
        <v>176</v>
      </c>
      <c r="G40" s="2" t="s">
        <v>158</v>
      </c>
      <c r="H40" s="40">
        <v>46316</v>
      </c>
      <c r="I40" s="2" t="s">
        <v>186</v>
      </c>
      <c r="J40" s="22"/>
    </row>
    <row r="41" spans="1:10" ht="96" customHeight="1" x14ac:dyDescent="0.25">
      <c r="A41" s="2" t="s">
        <v>274</v>
      </c>
      <c r="B41" s="22" t="s">
        <v>60</v>
      </c>
      <c r="C41" s="23" t="s">
        <v>275</v>
      </c>
      <c r="D41" s="23" t="s">
        <v>276</v>
      </c>
      <c r="E41" s="23" t="s">
        <v>277</v>
      </c>
      <c r="F41" s="2" t="s">
        <v>176</v>
      </c>
      <c r="G41" s="2" t="s">
        <v>158</v>
      </c>
      <c r="H41" s="40">
        <v>46316</v>
      </c>
      <c r="I41" s="2" t="s">
        <v>186</v>
      </c>
      <c r="J41" s="22"/>
    </row>
    <row r="42" spans="1:10" ht="81" customHeight="1" x14ac:dyDescent="0.25">
      <c r="A42" s="2" t="s">
        <v>278</v>
      </c>
      <c r="B42" s="22" t="s">
        <v>61</v>
      </c>
      <c r="C42" s="23" t="s">
        <v>279</v>
      </c>
      <c r="D42" s="23" t="s">
        <v>280</v>
      </c>
      <c r="E42" s="23" t="s">
        <v>281</v>
      </c>
      <c r="F42" s="2" t="s">
        <v>176</v>
      </c>
      <c r="G42" s="2" t="s">
        <v>158</v>
      </c>
      <c r="H42" s="40">
        <v>46316</v>
      </c>
      <c r="I42" s="2" t="s">
        <v>177</v>
      </c>
      <c r="J42" s="22"/>
    </row>
    <row r="43" spans="1:10" ht="81" customHeight="1" x14ac:dyDescent="0.25">
      <c r="A43" s="2" t="s">
        <v>282</v>
      </c>
      <c r="B43" s="22" t="s">
        <v>62</v>
      </c>
      <c r="C43" s="23" t="s">
        <v>283</v>
      </c>
      <c r="D43" s="23" t="s">
        <v>284</v>
      </c>
      <c r="E43" s="23" t="s">
        <v>285</v>
      </c>
      <c r="F43" s="2" t="s">
        <v>176</v>
      </c>
      <c r="G43" s="2" t="s">
        <v>158</v>
      </c>
      <c r="H43" s="40">
        <v>46316</v>
      </c>
      <c r="I43" s="2" t="s">
        <v>177</v>
      </c>
      <c r="J43" s="22"/>
    </row>
    <row r="44" spans="1:10" ht="21" customHeight="1" x14ac:dyDescent="0.25">
      <c r="A44" s="21"/>
      <c r="B44" s="21" t="s">
        <v>63</v>
      </c>
      <c r="C44" s="21"/>
      <c r="D44" s="21"/>
      <c r="E44" s="21"/>
      <c r="F44" s="21"/>
      <c r="G44" s="21"/>
      <c r="H44" s="39"/>
      <c r="I44" s="21"/>
      <c r="J44" s="21"/>
    </row>
    <row r="45" spans="1:10" ht="66" customHeight="1" x14ac:dyDescent="0.25">
      <c r="A45" s="2" t="s">
        <v>286</v>
      </c>
      <c r="B45" s="22" t="s">
        <v>64</v>
      </c>
      <c r="C45" s="23" t="s">
        <v>287</v>
      </c>
      <c r="D45" s="23"/>
      <c r="E45" s="23" t="s">
        <v>288</v>
      </c>
      <c r="F45" s="2" t="s">
        <v>176</v>
      </c>
      <c r="G45" s="2" t="s">
        <v>158</v>
      </c>
      <c r="H45" s="40">
        <v>46316</v>
      </c>
      <c r="I45" s="2" t="s">
        <v>186</v>
      </c>
      <c r="J45" s="22"/>
    </row>
    <row r="46" spans="1:10" ht="66" customHeight="1" x14ac:dyDescent="0.25">
      <c r="A46" s="2" t="s">
        <v>289</v>
      </c>
      <c r="B46" s="22" t="s">
        <v>65</v>
      </c>
      <c r="C46" s="23" t="s">
        <v>290</v>
      </c>
      <c r="D46" s="23" t="s">
        <v>291</v>
      </c>
      <c r="E46" s="23" t="s">
        <v>292</v>
      </c>
      <c r="F46" s="2" t="s">
        <v>176</v>
      </c>
      <c r="G46" s="2" t="s">
        <v>158</v>
      </c>
      <c r="H46" s="40">
        <v>46316</v>
      </c>
      <c r="I46" s="2" t="s">
        <v>186</v>
      </c>
      <c r="J46" s="22"/>
    </row>
    <row r="47" spans="1:10" ht="51" customHeight="1" x14ac:dyDescent="0.25">
      <c r="A47" s="2" t="s">
        <v>293</v>
      </c>
      <c r="B47" s="22" t="s">
        <v>66</v>
      </c>
      <c r="C47" s="23" t="s">
        <v>294</v>
      </c>
      <c r="D47" s="23" t="s">
        <v>295</v>
      </c>
      <c r="E47" s="23" t="s">
        <v>296</v>
      </c>
      <c r="F47" s="2" t="s">
        <v>176</v>
      </c>
      <c r="G47" s="2" t="s">
        <v>158</v>
      </c>
      <c r="H47" s="40">
        <v>46316</v>
      </c>
      <c r="I47" s="2" t="s">
        <v>186</v>
      </c>
      <c r="J47" s="22"/>
    </row>
    <row r="48" spans="1:10" ht="66" customHeight="1" x14ac:dyDescent="0.25">
      <c r="A48" s="2" t="s">
        <v>297</v>
      </c>
      <c r="B48" s="22" t="s">
        <v>67</v>
      </c>
      <c r="C48" s="23" t="s">
        <v>298</v>
      </c>
      <c r="D48" s="23" t="s">
        <v>299</v>
      </c>
      <c r="E48" s="23" t="s">
        <v>300</v>
      </c>
      <c r="F48" s="2" t="s">
        <v>176</v>
      </c>
      <c r="G48" s="2" t="s">
        <v>158</v>
      </c>
      <c r="H48" s="40">
        <v>46316</v>
      </c>
      <c r="I48" s="2" t="s">
        <v>186</v>
      </c>
      <c r="J48" s="22"/>
    </row>
    <row r="49" spans="1:10" ht="66" customHeight="1" x14ac:dyDescent="0.25">
      <c r="A49" s="2" t="s">
        <v>301</v>
      </c>
      <c r="B49" s="22" t="s">
        <v>68</v>
      </c>
      <c r="C49" s="23" t="s">
        <v>302</v>
      </c>
      <c r="D49" s="23"/>
      <c r="E49" s="23" t="s">
        <v>303</v>
      </c>
      <c r="F49" s="2" t="s">
        <v>176</v>
      </c>
      <c r="G49" s="2" t="s">
        <v>158</v>
      </c>
      <c r="H49" s="40">
        <v>46316</v>
      </c>
      <c r="I49" s="2" t="s">
        <v>177</v>
      </c>
      <c r="J49" s="22"/>
    </row>
    <row r="50" spans="1:10" ht="66" customHeight="1" x14ac:dyDescent="0.25">
      <c r="A50" s="2" t="s">
        <v>304</v>
      </c>
      <c r="B50" s="22" t="s">
        <v>69</v>
      </c>
      <c r="C50" s="23" t="s">
        <v>305</v>
      </c>
      <c r="D50" s="23" t="s">
        <v>306</v>
      </c>
      <c r="E50" s="23" t="s">
        <v>307</v>
      </c>
      <c r="F50" s="2" t="s">
        <v>176</v>
      </c>
      <c r="G50" s="2" t="s">
        <v>158</v>
      </c>
      <c r="H50" s="40">
        <v>46316</v>
      </c>
      <c r="I50" s="2" t="s">
        <v>177</v>
      </c>
      <c r="J50" s="22"/>
    </row>
    <row r="51" spans="1:10" ht="51" customHeight="1" x14ac:dyDescent="0.25">
      <c r="A51" s="2" t="s">
        <v>308</v>
      </c>
      <c r="B51" s="22" t="s">
        <v>70</v>
      </c>
      <c r="C51" s="23" t="s">
        <v>309</v>
      </c>
      <c r="D51" s="23" t="s">
        <v>310</v>
      </c>
      <c r="E51" s="23" t="s">
        <v>311</v>
      </c>
      <c r="F51" s="2" t="s">
        <v>176</v>
      </c>
      <c r="G51" s="2" t="s">
        <v>158</v>
      </c>
      <c r="H51" s="40">
        <v>46316</v>
      </c>
      <c r="I51" s="2" t="s">
        <v>186</v>
      </c>
      <c r="J51" s="22"/>
    </row>
  </sheetData>
  <mergeCells count="7">
    <mergeCell ref="G6:J6"/>
    <mergeCell ref="A7:J7"/>
    <mergeCell ref="A1:J1"/>
    <mergeCell ref="B2:J2"/>
    <mergeCell ref="B3:J3"/>
    <mergeCell ref="B4:J4"/>
    <mergeCell ref="G5:J5"/>
  </mergeCells>
  <conditionalFormatting sqref="G10:G43">
    <cfRule type="cellIs" dxfId="6" priority="4" operator="equal">
      <formula>"Failed"</formula>
    </cfRule>
  </conditionalFormatting>
  <conditionalFormatting sqref="G17">
    <cfRule type="containsText" dxfId="5" priority="1" operator="containsText" text="Failed">
      <formula>NOT(ISERROR(SEARCH("Failed",G17)))</formula>
    </cfRule>
  </conditionalFormatting>
  <conditionalFormatting sqref="G45:G982">
    <cfRule type="cellIs" dxfId="4" priority="3" operator="equal">
      <formula>"Failed"</formula>
    </cfRule>
  </conditionalFormatting>
  <dataValidations count="2">
    <dataValidation type="list" allowBlank="1" showErrorMessage="1" sqref="G10:G43 G45:G982" xr:uid="{00000000-0002-0000-0200-000000000000}">
      <formula1>"Untested,Passed,Failed,Blocked,Skipped"</formula1>
      <formula2>0</formula2>
    </dataValidation>
    <dataValidation type="list" allowBlank="1" sqref="I10:I995" xr:uid="{00000000-0002-0000-02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
  <sheetViews>
    <sheetView topLeftCell="F1" zoomScale="81" zoomScaleNormal="81" workbookViewId="0">
      <pane ySplit="8" topLeftCell="A29" activePane="bottomLeft" state="frozen"/>
      <selection activeCell="B1" sqref="B1"/>
      <selection pane="bottomLeft" activeCell="J33" sqref="J33"/>
    </sheetView>
  </sheetViews>
  <sheetFormatPr defaultColWidth="8.7109375" defaultRowHeight="15" x14ac:dyDescent="0.25"/>
  <cols>
    <col min="1" max="1" width="26.85546875" customWidth="1"/>
    <col min="2" max="2" width="45" customWidth="1"/>
    <col min="3" max="3" width="57.85546875" customWidth="1"/>
    <col min="4" max="4" width="40" customWidth="1"/>
    <col min="5" max="5" width="55" customWidth="1"/>
    <col min="6" max="6" width="28" customWidth="1"/>
    <col min="7" max="7" width="12.28515625" customWidth="1"/>
    <col min="8" max="8" width="12.5703125" style="41" customWidth="1"/>
    <col min="9" max="9" width="14" customWidth="1"/>
    <col min="10" max="10" width="38" customWidth="1"/>
  </cols>
  <sheetData>
    <row r="1" spans="1:10" ht="14.25" customHeight="1" x14ac:dyDescent="0.25">
      <c r="A1" s="47"/>
      <c r="B1" s="47"/>
      <c r="C1" s="47"/>
      <c r="D1" s="47"/>
      <c r="E1" s="47"/>
      <c r="F1" s="47"/>
      <c r="G1" s="47"/>
      <c r="H1" s="47"/>
      <c r="I1" s="47"/>
      <c r="J1" s="47"/>
    </row>
    <row r="2" spans="1:10" ht="17.25" customHeight="1" x14ac:dyDescent="0.25">
      <c r="A2" s="19" t="s">
        <v>154</v>
      </c>
      <c r="B2" s="49" t="s">
        <v>71</v>
      </c>
      <c r="C2" s="49"/>
      <c r="D2" s="49"/>
      <c r="E2" s="49"/>
      <c r="F2" s="49"/>
      <c r="G2" s="49"/>
      <c r="H2" s="49"/>
      <c r="I2" s="49"/>
      <c r="J2" s="49"/>
    </row>
    <row r="3" spans="1:10" ht="16.5" customHeight="1" x14ac:dyDescent="0.25">
      <c r="A3" s="19" t="s">
        <v>155</v>
      </c>
      <c r="B3" s="49" t="s">
        <v>312</v>
      </c>
      <c r="C3" s="49"/>
      <c r="D3" s="49"/>
      <c r="E3" s="49"/>
      <c r="F3" s="49"/>
      <c r="G3" s="49"/>
      <c r="H3" s="49"/>
      <c r="I3" s="49"/>
      <c r="J3" s="49"/>
    </row>
    <row r="4" spans="1:10" ht="17.25" customHeight="1" x14ac:dyDescent="0.25">
      <c r="A4" s="19" t="s">
        <v>156</v>
      </c>
      <c r="B4" s="49" t="s">
        <v>157</v>
      </c>
      <c r="C4" s="49"/>
      <c r="D4" s="49"/>
      <c r="E4" s="49"/>
      <c r="F4" s="49"/>
      <c r="G4" s="49"/>
      <c r="H4" s="49"/>
      <c r="I4" s="49"/>
      <c r="J4" s="49"/>
    </row>
    <row r="5" spans="1:10" ht="17.25" customHeight="1" x14ac:dyDescent="0.25">
      <c r="A5" s="3" t="s">
        <v>158</v>
      </c>
      <c r="B5" s="3" t="s">
        <v>159</v>
      </c>
      <c r="C5" s="3" t="s">
        <v>160</v>
      </c>
      <c r="D5" s="3" t="s">
        <v>161</v>
      </c>
      <c r="E5" s="3" t="s">
        <v>162</v>
      </c>
      <c r="F5" s="3" t="s">
        <v>163</v>
      </c>
      <c r="G5" s="50"/>
      <c r="H5" s="50"/>
      <c r="I5" s="50"/>
      <c r="J5" s="50"/>
    </row>
    <row r="6" spans="1:10" ht="19.5" customHeight="1" x14ac:dyDescent="0.25">
      <c r="A6" s="2">
        <f>COUNTIF($G$10:$G$995,"Passed")</f>
        <v>23</v>
      </c>
      <c r="B6" s="2">
        <f>COUNTIF($G$10:$G$995,"Failed")</f>
        <v>0</v>
      </c>
      <c r="C6" s="2">
        <f>COUNTIF($G$10:$G$995,"Untested")</f>
        <v>0</v>
      </c>
      <c r="D6" s="2">
        <f>COUNTIF($G$10:$G$995,"Blocked")</f>
        <v>0</v>
      </c>
      <c r="E6" s="2">
        <f>COUNTIF($G$10:$G$995,"Skipped")</f>
        <v>0</v>
      </c>
      <c r="F6" s="2">
        <f>COUNTA($A$10:$A$995)</f>
        <v>23</v>
      </c>
      <c r="G6" s="48"/>
      <c r="H6" s="48"/>
      <c r="I6" s="48"/>
      <c r="J6" s="48"/>
    </row>
    <row r="7" spans="1:10" ht="19.5" customHeight="1" x14ac:dyDescent="0.25">
      <c r="A7" s="47"/>
      <c r="B7" s="47"/>
      <c r="C7" s="47"/>
      <c r="D7" s="47"/>
      <c r="E7" s="47"/>
      <c r="F7" s="47"/>
      <c r="G7" s="47"/>
      <c r="H7" s="47"/>
      <c r="I7" s="47"/>
      <c r="J7" s="47"/>
    </row>
    <row r="8" spans="1:10" ht="44.25" customHeight="1" x14ac:dyDescent="0.25">
      <c r="A8" s="20" t="s">
        <v>164</v>
      </c>
      <c r="B8" s="20" t="s">
        <v>165</v>
      </c>
      <c r="C8" s="20" t="s">
        <v>166</v>
      </c>
      <c r="D8" s="20" t="s">
        <v>167</v>
      </c>
      <c r="E8" s="20" t="s">
        <v>168</v>
      </c>
      <c r="F8" s="20" t="s">
        <v>169</v>
      </c>
      <c r="G8" s="20" t="s">
        <v>170</v>
      </c>
      <c r="H8" s="38" t="s">
        <v>171</v>
      </c>
      <c r="I8" s="20" t="s">
        <v>575</v>
      </c>
      <c r="J8" s="20" t="s">
        <v>24</v>
      </c>
    </row>
    <row r="9" spans="1:10" ht="21" customHeight="1" x14ac:dyDescent="0.25">
      <c r="A9" s="21"/>
      <c r="B9" s="21" t="s">
        <v>73</v>
      </c>
      <c r="C9" s="21"/>
      <c r="D9" s="21"/>
      <c r="E9" s="21"/>
      <c r="F9" s="21"/>
      <c r="G9" s="21"/>
      <c r="H9" s="39"/>
      <c r="I9" s="21"/>
      <c r="J9" s="21"/>
    </row>
    <row r="10" spans="1:10" ht="66" customHeight="1" x14ac:dyDescent="0.25">
      <c r="A10" s="2" t="s">
        <v>313</v>
      </c>
      <c r="B10" s="22" t="s">
        <v>74</v>
      </c>
      <c r="C10" s="23" t="s">
        <v>314</v>
      </c>
      <c r="D10" s="23" t="s">
        <v>315</v>
      </c>
      <c r="E10" s="23" t="s">
        <v>316</v>
      </c>
      <c r="F10" s="2" t="s">
        <v>176</v>
      </c>
      <c r="G10" s="2" t="s">
        <v>158</v>
      </c>
      <c r="H10" s="40">
        <v>46317</v>
      </c>
      <c r="I10" s="2" t="s">
        <v>177</v>
      </c>
      <c r="J10" s="22"/>
    </row>
    <row r="11" spans="1:10" ht="51" customHeight="1" x14ac:dyDescent="0.25">
      <c r="A11" s="2" t="s">
        <v>317</v>
      </c>
      <c r="B11" s="22" t="s">
        <v>75</v>
      </c>
      <c r="C11" s="23" t="s">
        <v>318</v>
      </c>
      <c r="D11" s="23" t="s">
        <v>319</v>
      </c>
      <c r="E11" s="23" t="s">
        <v>320</v>
      </c>
      <c r="F11" s="2" t="s">
        <v>176</v>
      </c>
      <c r="G11" s="2" t="s">
        <v>158</v>
      </c>
      <c r="H11" s="40">
        <v>46317</v>
      </c>
      <c r="I11" s="2" t="s">
        <v>177</v>
      </c>
      <c r="J11" s="22"/>
    </row>
    <row r="12" spans="1:10" ht="51" customHeight="1" x14ac:dyDescent="0.25">
      <c r="A12" s="2" t="s">
        <v>321</v>
      </c>
      <c r="B12" s="22" t="s">
        <v>76</v>
      </c>
      <c r="C12" s="23" t="s">
        <v>322</v>
      </c>
      <c r="D12" s="23" t="s">
        <v>323</v>
      </c>
      <c r="E12" s="23" t="s">
        <v>324</v>
      </c>
      <c r="F12" s="2" t="s">
        <v>176</v>
      </c>
      <c r="G12" s="2" t="s">
        <v>158</v>
      </c>
      <c r="H12" s="40">
        <v>46317</v>
      </c>
      <c r="I12" s="2" t="s">
        <v>177</v>
      </c>
      <c r="J12" s="22"/>
    </row>
    <row r="13" spans="1:10" ht="51" customHeight="1" x14ac:dyDescent="0.25">
      <c r="A13" s="2" t="s">
        <v>325</v>
      </c>
      <c r="B13" s="22" t="s">
        <v>77</v>
      </c>
      <c r="C13" s="23" t="s">
        <v>326</v>
      </c>
      <c r="D13" s="23" t="s">
        <v>327</v>
      </c>
      <c r="E13" s="23" t="s">
        <v>328</v>
      </c>
      <c r="F13" s="2" t="s">
        <v>176</v>
      </c>
      <c r="G13" s="2" t="s">
        <v>158</v>
      </c>
      <c r="H13" s="40">
        <v>46317</v>
      </c>
      <c r="I13" s="2" t="s">
        <v>177</v>
      </c>
      <c r="J13" s="22"/>
    </row>
    <row r="14" spans="1:10" ht="51" customHeight="1" x14ac:dyDescent="0.25">
      <c r="A14" s="2" t="s">
        <v>329</v>
      </c>
      <c r="B14" s="22" t="s">
        <v>78</v>
      </c>
      <c r="C14" s="23" t="s">
        <v>330</v>
      </c>
      <c r="D14" s="23" t="s">
        <v>331</v>
      </c>
      <c r="E14" s="23" t="s">
        <v>332</v>
      </c>
      <c r="F14" s="2" t="s">
        <v>176</v>
      </c>
      <c r="G14" s="2" t="s">
        <v>158</v>
      </c>
      <c r="H14" s="40">
        <v>46317</v>
      </c>
      <c r="I14" s="2" t="s">
        <v>177</v>
      </c>
      <c r="J14" s="22"/>
    </row>
    <row r="15" spans="1:10" ht="51" customHeight="1" x14ac:dyDescent="0.25">
      <c r="A15" s="2" t="s">
        <v>333</v>
      </c>
      <c r="B15" s="22" t="s">
        <v>79</v>
      </c>
      <c r="C15" s="23" t="s">
        <v>334</v>
      </c>
      <c r="D15" s="23" t="s">
        <v>335</v>
      </c>
      <c r="E15" s="23" t="s">
        <v>336</v>
      </c>
      <c r="F15" s="2" t="s">
        <v>176</v>
      </c>
      <c r="G15" s="2" t="s">
        <v>158</v>
      </c>
      <c r="H15" s="40">
        <v>46317</v>
      </c>
      <c r="I15" s="2" t="s">
        <v>177</v>
      </c>
      <c r="J15" s="22"/>
    </row>
    <row r="16" spans="1:10" ht="51" customHeight="1" x14ac:dyDescent="0.25">
      <c r="A16" s="2" t="s">
        <v>337</v>
      </c>
      <c r="B16" s="22" t="s">
        <v>80</v>
      </c>
      <c r="C16" s="23" t="s">
        <v>338</v>
      </c>
      <c r="D16" s="23" t="s">
        <v>339</v>
      </c>
      <c r="E16" s="23" t="s">
        <v>340</v>
      </c>
      <c r="F16" s="2" t="s">
        <v>176</v>
      </c>
      <c r="G16" s="2" t="s">
        <v>158</v>
      </c>
      <c r="H16" s="40">
        <v>46317</v>
      </c>
      <c r="I16" s="2" t="s">
        <v>177</v>
      </c>
      <c r="J16" s="22"/>
    </row>
    <row r="17" spans="1:10" ht="51" customHeight="1" x14ac:dyDescent="0.25">
      <c r="A17" s="2" t="s">
        <v>341</v>
      </c>
      <c r="B17" s="22" t="s">
        <v>81</v>
      </c>
      <c r="C17" s="23" t="s">
        <v>342</v>
      </c>
      <c r="D17" s="23" t="s">
        <v>343</v>
      </c>
      <c r="E17" s="23" t="s">
        <v>344</v>
      </c>
      <c r="F17" s="2" t="s">
        <v>176</v>
      </c>
      <c r="G17" s="2" t="s">
        <v>158</v>
      </c>
      <c r="H17" s="40">
        <v>46317</v>
      </c>
      <c r="I17" s="2" t="s">
        <v>177</v>
      </c>
      <c r="J17" s="22"/>
    </row>
    <row r="18" spans="1:10" ht="51" customHeight="1" x14ac:dyDescent="0.25">
      <c r="A18" s="2" t="s">
        <v>345</v>
      </c>
      <c r="B18" s="22" t="s">
        <v>82</v>
      </c>
      <c r="C18" s="23" t="s">
        <v>346</v>
      </c>
      <c r="D18" s="23" t="s">
        <v>347</v>
      </c>
      <c r="E18" s="23" t="s">
        <v>348</v>
      </c>
      <c r="F18" s="2" t="s">
        <v>176</v>
      </c>
      <c r="G18" s="2" t="s">
        <v>158</v>
      </c>
      <c r="H18" s="40">
        <v>46317</v>
      </c>
      <c r="I18" s="2" t="s">
        <v>177</v>
      </c>
      <c r="J18" s="22"/>
    </row>
    <row r="19" spans="1:10" ht="51" customHeight="1" x14ac:dyDescent="0.25">
      <c r="A19" s="2" t="s">
        <v>349</v>
      </c>
      <c r="B19" s="22" t="s">
        <v>83</v>
      </c>
      <c r="C19" s="23" t="s">
        <v>350</v>
      </c>
      <c r="D19" s="23" t="s">
        <v>351</v>
      </c>
      <c r="E19" s="23" t="s">
        <v>352</v>
      </c>
      <c r="F19" s="2" t="s">
        <v>176</v>
      </c>
      <c r="G19" s="2" t="s">
        <v>158</v>
      </c>
      <c r="H19" s="40">
        <v>46317</v>
      </c>
      <c r="I19" s="2" t="s">
        <v>177</v>
      </c>
      <c r="J19" s="22"/>
    </row>
    <row r="20" spans="1:10" ht="51" customHeight="1" x14ac:dyDescent="0.25">
      <c r="A20" s="2" t="s">
        <v>353</v>
      </c>
      <c r="B20" s="22" t="s">
        <v>84</v>
      </c>
      <c r="C20" s="23" t="s">
        <v>354</v>
      </c>
      <c r="D20" s="23" t="s">
        <v>355</v>
      </c>
      <c r="E20" s="23" t="s">
        <v>356</v>
      </c>
      <c r="F20" s="2" t="s">
        <v>176</v>
      </c>
      <c r="G20" s="2" t="s">
        <v>158</v>
      </c>
      <c r="H20" s="40">
        <v>46317</v>
      </c>
      <c r="I20" s="2" t="s">
        <v>177</v>
      </c>
      <c r="J20" s="22"/>
    </row>
    <row r="21" spans="1:10" ht="51" customHeight="1" x14ac:dyDescent="0.25">
      <c r="A21" s="2" t="s">
        <v>357</v>
      </c>
      <c r="B21" s="22" t="s">
        <v>85</v>
      </c>
      <c r="C21" s="23" t="s">
        <v>358</v>
      </c>
      <c r="D21" s="23" t="s">
        <v>359</v>
      </c>
      <c r="E21" s="23" t="s">
        <v>360</v>
      </c>
      <c r="F21" s="2" t="s">
        <v>176</v>
      </c>
      <c r="G21" s="2" t="s">
        <v>158</v>
      </c>
      <c r="H21" s="40">
        <v>46317</v>
      </c>
      <c r="I21" s="2" t="s">
        <v>177</v>
      </c>
      <c r="J21" s="22"/>
    </row>
    <row r="22" spans="1:10" ht="21" customHeight="1" x14ac:dyDescent="0.25">
      <c r="A22" s="21"/>
      <c r="B22" s="21" t="s">
        <v>86</v>
      </c>
      <c r="C22" s="21"/>
      <c r="D22" s="21"/>
      <c r="E22" s="21"/>
      <c r="F22" s="21"/>
      <c r="G22" s="21"/>
      <c r="H22" s="39"/>
      <c r="I22" s="21"/>
      <c r="J22" s="21"/>
    </row>
    <row r="23" spans="1:10" ht="66" customHeight="1" x14ac:dyDescent="0.25">
      <c r="A23" s="2" t="s">
        <v>361</v>
      </c>
      <c r="B23" s="22" t="s">
        <v>87</v>
      </c>
      <c r="C23" s="23" t="s">
        <v>362</v>
      </c>
      <c r="D23" s="23" t="s">
        <v>319</v>
      </c>
      <c r="E23" s="23" t="s">
        <v>363</v>
      </c>
      <c r="F23" s="2" t="s">
        <v>176</v>
      </c>
      <c r="G23" s="2" t="s">
        <v>158</v>
      </c>
      <c r="H23" s="40">
        <v>46317</v>
      </c>
      <c r="I23" s="2" t="s">
        <v>177</v>
      </c>
      <c r="J23" s="22"/>
    </row>
    <row r="24" spans="1:10" ht="66" customHeight="1" x14ac:dyDescent="0.25">
      <c r="A24" s="2" t="s">
        <v>364</v>
      </c>
      <c r="B24" s="22" t="s">
        <v>88</v>
      </c>
      <c r="C24" s="23" t="s">
        <v>365</v>
      </c>
      <c r="D24" s="23" t="s">
        <v>339</v>
      </c>
      <c r="E24" s="23" t="s">
        <v>366</v>
      </c>
      <c r="F24" s="2" t="s">
        <v>176</v>
      </c>
      <c r="G24" s="2" t="s">
        <v>158</v>
      </c>
      <c r="H24" s="40">
        <v>46317</v>
      </c>
      <c r="I24" s="2" t="s">
        <v>177</v>
      </c>
      <c r="J24" s="22"/>
    </row>
    <row r="25" spans="1:10" ht="66" customHeight="1" x14ac:dyDescent="0.25">
      <c r="A25" s="2" t="s">
        <v>367</v>
      </c>
      <c r="B25" s="22" t="s">
        <v>89</v>
      </c>
      <c r="C25" s="23" t="s">
        <v>368</v>
      </c>
      <c r="D25" s="23" t="s">
        <v>369</v>
      </c>
      <c r="E25" s="23" t="s">
        <v>370</v>
      </c>
      <c r="F25" s="2" t="s">
        <v>176</v>
      </c>
      <c r="G25" s="2" t="s">
        <v>158</v>
      </c>
      <c r="H25" s="40">
        <v>46317</v>
      </c>
      <c r="I25" s="2" t="s">
        <v>177</v>
      </c>
      <c r="J25" s="22"/>
    </row>
    <row r="26" spans="1:10" ht="66" customHeight="1" x14ac:dyDescent="0.25">
      <c r="A26" s="2" t="s">
        <v>371</v>
      </c>
      <c r="B26" s="22" t="s">
        <v>90</v>
      </c>
      <c r="C26" s="23" t="s">
        <v>372</v>
      </c>
      <c r="D26" s="23" t="s">
        <v>323</v>
      </c>
      <c r="E26" s="23" t="s">
        <v>373</v>
      </c>
      <c r="F26" s="2" t="s">
        <v>176</v>
      </c>
      <c r="G26" s="2" t="s">
        <v>158</v>
      </c>
      <c r="H26" s="40">
        <v>46317</v>
      </c>
      <c r="I26" s="2" t="s">
        <v>186</v>
      </c>
      <c r="J26" s="22"/>
    </row>
    <row r="27" spans="1:10" ht="66" customHeight="1" x14ac:dyDescent="0.25">
      <c r="A27" s="2" t="s">
        <v>374</v>
      </c>
      <c r="B27" s="22" t="s">
        <v>91</v>
      </c>
      <c r="C27" s="23" t="s">
        <v>375</v>
      </c>
      <c r="D27" s="23" t="s">
        <v>331</v>
      </c>
      <c r="E27" s="23" t="s">
        <v>376</v>
      </c>
      <c r="F27" s="2" t="s">
        <v>176</v>
      </c>
      <c r="G27" s="2" t="s">
        <v>158</v>
      </c>
      <c r="H27" s="40">
        <v>46317</v>
      </c>
      <c r="I27" s="2" t="s">
        <v>177</v>
      </c>
      <c r="J27" s="22"/>
    </row>
    <row r="28" spans="1:10" ht="66" customHeight="1" x14ac:dyDescent="0.25">
      <c r="A28" s="2" t="s">
        <v>377</v>
      </c>
      <c r="B28" s="22" t="s">
        <v>92</v>
      </c>
      <c r="C28" s="23" t="s">
        <v>378</v>
      </c>
      <c r="D28" s="23" t="s">
        <v>379</v>
      </c>
      <c r="E28" s="23" t="s">
        <v>380</v>
      </c>
      <c r="F28" s="2" t="s">
        <v>176</v>
      </c>
      <c r="G28" s="2" t="s">
        <v>158</v>
      </c>
      <c r="H28" s="40">
        <v>46317</v>
      </c>
      <c r="I28" s="2" t="s">
        <v>186</v>
      </c>
      <c r="J28" s="22"/>
    </row>
    <row r="29" spans="1:10" ht="21" customHeight="1" x14ac:dyDescent="0.25">
      <c r="A29" s="21"/>
      <c r="B29" s="21" t="s">
        <v>93</v>
      </c>
      <c r="C29" s="21"/>
      <c r="D29" s="21"/>
      <c r="E29" s="21"/>
      <c r="F29" s="21"/>
      <c r="G29" s="21"/>
      <c r="H29" s="39"/>
      <c r="I29" s="21"/>
      <c r="J29" s="21"/>
    </row>
    <row r="30" spans="1:10" ht="66" customHeight="1" x14ac:dyDescent="0.25">
      <c r="A30" s="2" t="s">
        <v>381</v>
      </c>
      <c r="B30" s="22" t="s">
        <v>94</v>
      </c>
      <c r="C30" s="23" t="s">
        <v>382</v>
      </c>
      <c r="D30" s="23" t="s">
        <v>383</v>
      </c>
      <c r="E30" s="23" t="s">
        <v>384</v>
      </c>
      <c r="F30" s="2" t="s">
        <v>176</v>
      </c>
      <c r="G30" s="2" t="s">
        <v>158</v>
      </c>
      <c r="H30" s="40">
        <v>46317</v>
      </c>
      <c r="I30" s="2" t="s">
        <v>177</v>
      </c>
      <c r="J30" s="22"/>
    </row>
    <row r="31" spans="1:10" ht="66" customHeight="1" x14ac:dyDescent="0.25">
      <c r="A31" s="2" t="s">
        <v>385</v>
      </c>
      <c r="B31" s="22" t="s">
        <v>95</v>
      </c>
      <c r="C31" s="23" t="s">
        <v>386</v>
      </c>
      <c r="D31" s="23" t="s">
        <v>387</v>
      </c>
      <c r="E31" s="23" t="s">
        <v>388</v>
      </c>
      <c r="F31" s="2" t="s">
        <v>176</v>
      </c>
      <c r="G31" s="2" t="s">
        <v>158</v>
      </c>
      <c r="H31" s="40">
        <v>46317</v>
      </c>
      <c r="I31" s="2" t="s">
        <v>177</v>
      </c>
      <c r="J31" s="22"/>
    </row>
    <row r="32" spans="1:10" ht="66" customHeight="1" x14ac:dyDescent="0.25">
      <c r="A32" s="2" t="s">
        <v>389</v>
      </c>
      <c r="B32" s="22" t="s">
        <v>96</v>
      </c>
      <c r="C32" s="23" t="s">
        <v>390</v>
      </c>
      <c r="D32" s="23" t="s">
        <v>391</v>
      </c>
      <c r="E32" s="23" t="s">
        <v>392</v>
      </c>
      <c r="F32" s="2" t="s">
        <v>176</v>
      </c>
      <c r="G32" s="2" t="s">
        <v>158</v>
      </c>
      <c r="H32" s="40">
        <v>46317</v>
      </c>
      <c r="I32" s="2" t="s">
        <v>177</v>
      </c>
      <c r="J32" s="22"/>
    </row>
    <row r="33" spans="1:10" ht="66" customHeight="1" x14ac:dyDescent="0.25">
      <c r="A33" s="2" t="s">
        <v>393</v>
      </c>
      <c r="B33" s="22" t="s">
        <v>97</v>
      </c>
      <c r="C33" s="23" t="s">
        <v>394</v>
      </c>
      <c r="D33" s="23" t="s">
        <v>395</v>
      </c>
      <c r="E33" s="23" t="s">
        <v>392</v>
      </c>
      <c r="F33" s="2" t="s">
        <v>176</v>
      </c>
      <c r="G33" s="2" t="s">
        <v>158</v>
      </c>
      <c r="H33" s="40">
        <v>46317</v>
      </c>
      <c r="I33" s="2" t="s">
        <v>177</v>
      </c>
      <c r="J33" s="22"/>
    </row>
    <row r="34" spans="1:10" ht="66" customHeight="1" x14ac:dyDescent="0.25">
      <c r="A34" s="2" t="s">
        <v>396</v>
      </c>
      <c r="B34" s="22" t="s">
        <v>98</v>
      </c>
      <c r="C34" s="23" t="s">
        <v>397</v>
      </c>
      <c r="D34" s="23" t="s">
        <v>395</v>
      </c>
      <c r="E34" s="23" t="s">
        <v>398</v>
      </c>
      <c r="F34" s="2" t="s">
        <v>176</v>
      </c>
      <c r="G34" s="2" t="s">
        <v>158</v>
      </c>
      <c r="H34" s="40">
        <v>46317</v>
      </c>
      <c r="I34" s="2" t="s">
        <v>186</v>
      </c>
      <c r="J34" s="22"/>
    </row>
  </sheetData>
  <mergeCells count="7">
    <mergeCell ref="G6:J6"/>
    <mergeCell ref="A7:J7"/>
    <mergeCell ref="A1:J1"/>
    <mergeCell ref="B2:J2"/>
    <mergeCell ref="B3:J3"/>
    <mergeCell ref="B4:J4"/>
    <mergeCell ref="G5:J5"/>
  </mergeCells>
  <conditionalFormatting sqref="G10:G995">
    <cfRule type="cellIs" dxfId="3" priority="2" operator="equal">
      <formula>"Failed"</formula>
    </cfRule>
  </conditionalFormatting>
  <dataValidations count="2">
    <dataValidation type="list" allowBlank="1" showErrorMessage="1" sqref="G10:G995" xr:uid="{00000000-0002-0000-0300-000000000000}">
      <formula1>"Untested,Passed,Failed,Blocked,Skipped"</formula1>
      <formula2>0</formula2>
    </dataValidation>
    <dataValidation type="list" allowBlank="1" sqref="I10:I995" xr:uid="{00000000-0002-0000-0300-000001000000}">
      <formula1>"High,Medium,Low"</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4"/>
  <sheetViews>
    <sheetView zoomScale="82" zoomScaleNormal="82" workbookViewId="0">
      <pane ySplit="8" topLeftCell="A15" activePane="bottomLeft" state="frozen"/>
      <selection pane="bottomLeft" activeCell="D16" sqref="D16"/>
    </sheetView>
  </sheetViews>
  <sheetFormatPr defaultColWidth="8.7109375" defaultRowHeight="15" x14ac:dyDescent="0.25"/>
  <cols>
    <col min="1" max="1" width="25" customWidth="1"/>
    <col min="2" max="2" width="45" customWidth="1"/>
    <col min="3" max="3" width="57.85546875" customWidth="1"/>
    <col min="4" max="4" width="40" customWidth="1"/>
    <col min="5" max="5" width="55" customWidth="1"/>
    <col min="6" max="6" width="27.85546875" customWidth="1"/>
    <col min="7" max="7" width="12.28515625" customWidth="1"/>
    <col min="8" max="8" width="12.5703125" customWidth="1"/>
    <col min="9" max="9" width="14" customWidth="1"/>
    <col min="10" max="10" width="38" customWidth="1"/>
  </cols>
  <sheetData>
    <row r="1" spans="1:10" ht="14.25" customHeight="1" x14ac:dyDescent="0.25">
      <c r="A1" s="47"/>
      <c r="B1" s="47"/>
      <c r="C1" s="47"/>
      <c r="D1" s="47"/>
      <c r="E1" s="47"/>
      <c r="F1" s="47"/>
      <c r="G1" s="47"/>
      <c r="H1" s="47"/>
      <c r="I1" s="47"/>
      <c r="J1" s="47"/>
    </row>
    <row r="2" spans="1:10" ht="17.25" customHeight="1" x14ac:dyDescent="0.25">
      <c r="A2" s="19" t="s">
        <v>154</v>
      </c>
      <c r="B2" s="49" t="s">
        <v>99</v>
      </c>
      <c r="C2" s="49"/>
      <c r="D2" s="49"/>
      <c r="E2" s="49"/>
      <c r="F2" s="49"/>
      <c r="G2" s="49"/>
      <c r="H2" s="49"/>
      <c r="I2" s="49"/>
      <c r="J2" s="49"/>
    </row>
    <row r="3" spans="1:10" ht="16.5" customHeight="1" x14ac:dyDescent="0.25">
      <c r="A3" s="19" t="s">
        <v>155</v>
      </c>
      <c r="B3" s="49" t="s">
        <v>100</v>
      </c>
      <c r="C3" s="49"/>
      <c r="D3" s="49"/>
      <c r="E3" s="49"/>
      <c r="F3" s="49"/>
      <c r="G3" s="49"/>
      <c r="H3" s="49"/>
      <c r="I3" s="49"/>
      <c r="J3" s="49"/>
    </row>
    <row r="4" spans="1:10" ht="17.25" customHeight="1" x14ac:dyDescent="0.25">
      <c r="A4" s="19" t="s">
        <v>156</v>
      </c>
      <c r="B4" s="49" t="s">
        <v>157</v>
      </c>
      <c r="C4" s="49"/>
      <c r="D4" s="49"/>
      <c r="E4" s="49"/>
      <c r="F4" s="49"/>
      <c r="G4" s="49"/>
      <c r="H4" s="49"/>
      <c r="I4" s="49"/>
      <c r="J4" s="49"/>
    </row>
    <row r="5" spans="1:10" ht="17.25" customHeight="1" x14ac:dyDescent="0.25">
      <c r="A5" s="3" t="s">
        <v>158</v>
      </c>
      <c r="B5" s="3" t="s">
        <v>159</v>
      </c>
      <c r="C5" s="3" t="s">
        <v>160</v>
      </c>
      <c r="D5" s="3" t="s">
        <v>161</v>
      </c>
      <c r="E5" s="3" t="s">
        <v>162</v>
      </c>
      <c r="F5" s="3" t="s">
        <v>163</v>
      </c>
      <c r="G5" s="50"/>
      <c r="H5" s="50"/>
      <c r="I5" s="50"/>
      <c r="J5" s="50"/>
    </row>
    <row r="6" spans="1:10" ht="19.5" customHeight="1" x14ac:dyDescent="0.25">
      <c r="A6" s="2">
        <f>COUNTIF($G$10:$G$995,"Passed")</f>
        <v>23</v>
      </c>
      <c r="B6" s="2">
        <f>COUNTIF($G$10:$G$995,"Failed")</f>
        <v>0</v>
      </c>
      <c r="C6" s="2">
        <f>COUNTIF($G$10:$G$995,"Untested")</f>
        <v>0</v>
      </c>
      <c r="D6" s="2">
        <f>COUNTIF($G$10:$G$995,"Blocked")</f>
        <v>0</v>
      </c>
      <c r="E6" s="2">
        <f>COUNTIF($G$10:$G$995,"Skipped")</f>
        <v>0</v>
      </c>
      <c r="F6" s="2">
        <f>COUNTA($A$10:$A$995)</f>
        <v>23</v>
      </c>
      <c r="G6" s="48"/>
      <c r="H6" s="48"/>
      <c r="I6" s="48"/>
      <c r="J6" s="48"/>
    </row>
    <row r="7" spans="1:10" ht="19.5" customHeight="1" x14ac:dyDescent="0.25">
      <c r="A7" s="47"/>
      <c r="B7" s="47"/>
      <c r="C7" s="47"/>
      <c r="D7" s="47"/>
      <c r="E7" s="47"/>
      <c r="F7" s="47"/>
      <c r="G7" s="47"/>
      <c r="H7" s="47"/>
      <c r="I7" s="47"/>
      <c r="J7" s="47"/>
    </row>
    <row r="8" spans="1:10" ht="40.5" customHeight="1" x14ac:dyDescent="0.25">
      <c r="A8" s="20" t="s">
        <v>164</v>
      </c>
      <c r="B8" s="20" t="s">
        <v>165</v>
      </c>
      <c r="C8" s="20" t="s">
        <v>166</v>
      </c>
      <c r="D8" s="20" t="s">
        <v>167</v>
      </c>
      <c r="E8" s="20" t="s">
        <v>168</v>
      </c>
      <c r="F8" s="20" t="s">
        <v>169</v>
      </c>
      <c r="G8" s="20" t="s">
        <v>170</v>
      </c>
      <c r="H8" s="20" t="s">
        <v>171</v>
      </c>
      <c r="I8" s="20" t="s">
        <v>575</v>
      </c>
      <c r="J8" s="20" t="s">
        <v>24</v>
      </c>
    </row>
    <row r="9" spans="1:10" ht="21" customHeight="1" x14ac:dyDescent="0.25">
      <c r="A9" s="21"/>
      <c r="B9" s="21" t="s">
        <v>101</v>
      </c>
      <c r="C9" s="21"/>
      <c r="D9" s="21"/>
      <c r="E9" s="21"/>
      <c r="F9" s="21"/>
      <c r="G9" s="21"/>
      <c r="H9" s="21"/>
      <c r="I9" s="21"/>
      <c r="J9" s="21"/>
    </row>
    <row r="10" spans="1:10" ht="81" customHeight="1" x14ac:dyDescent="0.25">
      <c r="A10" s="2" t="s">
        <v>399</v>
      </c>
      <c r="B10" s="22" t="s">
        <v>102</v>
      </c>
      <c r="C10" s="23" t="s">
        <v>400</v>
      </c>
      <c r="D10" s="23" t="s">
        <v>401</v>
      </c>
      <c r="E10" s="23" t="s">
        <v>576</v>
      </c>
      <c r="F10" s="2" t="s">
        <v>313</v>
      </c>
      <c r="G10" s="2" t="s">
        <v>158</v>
      </c>
      <c r="H10" s="40">
        <v>46318</v>
      </c>
      <c r="I10" s="2" t="s">
        <v>177</v>
      </c>
      <c r="J10" s="22"/>
    </row>
    <row r="11" spans="1:10" ht="81" customHeight="1" x14ac:dyDescent="0.25">
      <c r="A11" s="2" t="s">
        <v>402</v>
      </c>
      <c r="B11" s="22" t="s">
        <v>103</v>
      </c>
      <c r="C11" s="23" t="s">
        <v>403</v>
      </c>
      <c r="D11" s="23" t="s">
        <v>404</v>
      </c>
      <c r="E11" s="23" t="s">
        <v>577</v>
      </c>
      <c r="F11" s="2" t="s">
        <v>313</v>
      </c>
      <c r="G11" s="2" t="s">
        <v>158</v>
      </c>
      <c r="H11" s="40">
        <v>46318</v>
      </c>
      <c r="I11" s="2" t="s">
        <v>177</v>
      </c>
      <c r="J11" s="22"/>
    </row>
    <row r="12" spans="1:10" ht="81" customHeight="1" x14ac:dyDescent="0.25">
      <c r="A12" s="2" t="s">
        <v>405</v>
      </c>
      <c r="B12" s="22" t="s">
        <v>104</v>
      </c>
      <c r="C12" s="23" t="s">
        <v>406</v>
      </c>
      <c r="D12" s="23" t="s">
        <v>407</v>
      </c>
      <c r="E12" s="23" t="s">
        <v>578</v>
      </c>
      <c r="F12" s="2" t="s">
        <v>313</v>
      </c>
      <c r="G12" s="2" t="s">
        <v>158</v>
      </c>
      <c r="H12" s="40">
        <v>46318</v>
      </c>
      <c r="I12" s="2" t="s">
        <v>177</v>
      </c>
      <c r="J12" s="22"/>
    </row>
    <row r="13" spans="1:10" ht="81" customHeight="1" x14ac:dyDescent="0.25">
      <c r="A13" s="2" t="s">
        <v>408</v>
      </c>
      <c r="B13" s="22" t="s">
        <v>105</v>
      </c>
      <c r="C13" s="23" t="s">
        <v>409</v>
      </c>
      <c r="D13" s="23" t="s">
        <v>410</v>
      </c>
      <c r="E13" s="23" t="s">
        <v>579</v>
      </c>
      <c r="F13" s="2" t="s">
        <v>313</v>
      </c>
      <c r="G13" s="2" t="s">
        <v>158</v>
      </c>
      <c r="H13" s="40">
        <v>46318</v>
      </c>
      <c r="I13" s="2" t="s">
        <v>177</v>
      </c>
      <c r="J13" s="22"/>
    </row>
    <row r="14" spans="1:10" ht="81" customHeight="1" x14ac:dyDescent="0.25">
      <c r="A14" s="2" t="s">
        <v>411</v>
      </c>
      <c r="B14" s="22" t="s">
        <v>106</v>
      </c>
      <c r="C14" s="23" t="s">
        <v>412</v>
      </c>
      <c r="D14" s="23" t="s">
        <v>413</v>
      </c>
      <c r="E14" s="23" t="s">
        <v>580</v>
      </c>
      <c r="F14" s="2" t="s">
        <v>313</v>
      </c>
      <c r="G14" s="2" t="s">
        <v>158</v>
      </c>
      <c r="H14" s="40">
        <v>46318</v>
      </c>
      <c r="I14" s="2" t="s">
        <v>186</v>
      </c>
      <c r="J14" s="22"/>
    </row>
    <row r="15" spans="1:10" ht="81" customHeight="1" x14ac:dyDescent="0.25">
      <c r="A15" s="2" t="s">
        <v>414</v>
      </c>
      <c r="B15" s="22" t="s">
        <v>107</v>
      </c>
      <c r="C15" s="23" t="s">
        <v>415</v>
      </c>
      <c r="D15" s="23" t="s">
        <v>416</v>
      </c>
      <c r="E15" s="23" t="s">
        <v>581</v>
      </c>
      <c r="F15" s="2" t="s">
        <v>313</v>
      </c>
      <c r="G15" s="2" t="s">
        <v>158</v>
      </c>
      <c r="H15" s="40">
        <v>46318</v>
      </c>
      <c r="I15" s="2" t="s">
        <v>186</v>
      </c>
      <c r="J15" s="22"/>
    </row>
    <row r="16" spans="1:10" ht="81" customHeight="1" x14ac:dyDescent="0.25">
      <c r="A16" s="2" t="s">
        <v>417</v>
      </c>
      <c r="B16" s="22" t="s">
        <v>108</v>
      </c>
      <c r="C16" s="23" t="s">
        <v>418</v>
      </c>
      <c r="D16" s="23" t="s">
        <v>419</v>
      </c>
      <c r="E16" s="23" t="s">
        <v>582</v>
      </c>
      <c r="F16" s="2" t="s">
        <v>313</v>
      </c>
      <c r="G16" s="2" t="s">
        <v>158</v>
      </c>
      <c r="H16" s="40">
        <v>46318</v>
      </c>
      <c r="I16" s="2" t="s">
        <v>177</v>
      </c>
      <c r="J16" s="22"/>
    </row>
    <row r="17" spans="1:10" ht="81" customHeight="1" x14ac:dyDescent="0.25">
      <c r="A17" s="2" t="s">
        <v>420</v>
      </c>
      <c r="B17" s="22" t="s">
        <v>109</v>
      </c>
      <c r="C17" s="23" t="s">
        <v>421</v>
      </c>
      <c r="D17" s="23" t="s">
        <v>315</v>
      </c>
      <c r="E17" s="23" t="s">
        <v>422</v>
      </c>
      <c r="F17" s="2" t="s">
        <v>176</v>
      </c>
      <c r="G17" s="2" t="s">
        <v>158</v>
      </c>
      <c r="H17" s="40">
        <v>46318</v>
      </c>
      <c r="I17" s="2" t="s">
        <v>186</v>
      </c>
      <c r="J17" s="22"/>
    </row>
    <row r="18" spans="1:10" ht="81" customHeight="1" x14ac:dyDescent="0.25">
      <c r="A18" s="2" t="s">
        <v>423</v>
      </c>
      <c r="B18" s="22" t="s">
        <v>110</v>
      </c>
      <c r="C18" s="23" t="s">
        <v>424</v>
      </c>
      <c r="D18" s="23" t="s">
        <v>425</v>
      </c>
      <c r="E18" s="23" t="s">
        <v>426</v>
      </c>
      <c r="F18" s="2" t="s">
        <v>176</v>
      </c>
      <c r="G18" s="2" t="s">
        <v>158</v>
      </c>
      <c r="H18" s="40">
        <v>46318</v>
      </c>
      <c r="I18" s="2" t="s">
        <v>177</v>
      </c>
      <c r="J18" s="22"/>
    </row>
    <row r="19" spans="1:10" ht="51" customHeight="1" x14ac:dyDescent="0.25">
      <c r="A19" s="2" t="s">
        <v>427</v>
      </c>
      <c r="B19" s="22" t="s">
        <v>81</v>
      </c>
      <c r="C19" s="23" t="s">
        <v>428</v>
      </c>
      <c r="D19" s="23" t="s">
        <v>343</v>
      </c>
      <c r="E19" s="23" t="s">
        <v>344</v>
      </c>
      <c r="F19" s="2" t="s">
        <v>313</v>
      </c>
      <c r="G19" s="2" t="s">
        <v>158</v>
      </c>
      <c r="H19" s="40">
        <v>46318</v>
      </c>
      <c r="I19" s="2" t="s">
        <v>177</v>
      </c>
      <c r="J19" s="22"/>
    </row>
    <row r="20" spans="1:10" ht="51" customHeight="1" x14ac:dyDescent="0.25">
      <c r="A20" s="2" t="s">
        <v>429</v>
      </c>
      <c r="B20" s="22" t="s">
        <v>111</v>
      </c>
      <c r="C20" s="23" t="s">
        <v>430</v>
      </c>
      <c r="D20" s="23" t="s">
        <v>347</v>
      </c>
      <c r="E20" s="23" t="s">
        <v>348</v>
      </c>
      <c r="F20" s="2" t="s">
        <v>313</v>
      </c>
      <c r="G20" s="2" t="s">
        <v>158</v>
      </c>
      <c r="H20" s="40">
        <v>46318</v>
      </c>
      <c r="I20" s="2" t="s">
        <v>177</v>
      </c>
      <c r="J20" s="22"/>
    </row>
    <row r="21" spans="1:10" ht="66" customHeight="1" x14ac:dyDescent="0.25">
      <c r="A21" s="2" t="s">
        <v>431</v>
      </c>
      <c r="B21" s="22" t="s">
        <v>112</v>
      </c>
      <c r="C21" s="23" t="s">
        <v>432</v>
      </c>
      <c r="D21" s="23" t="s">
        <v>433</v>
      </c>
      <c r="E21" s="23" t="s">
        <v>434</v>
      </c>
      <c r="F21" s="2" t="s">
        <v>313</v>
      </c>
      <c r="G21" s="2" t="s">
        <v>158</v>
      </c>
      <c r="H21" s="40">
        <v>46318</v>
      </c>
      <c r="I21" s="2" t="s">
        <v>177</v>
      </c>
      <c r="J21" s="22"/>
    </row>
    <row r="22" spans="1:10" ht="21" customHeight="1" x14ac:dyDescent="0.25">
      <c r="A22" s="21"/>
      <c r="B22" s="21" t="s">
        <v>86</v>
      </c>
      <c r="C22" s="21"/>
      <c r="D22" s="21"/>
      <c r="E22" s="21"/>
      <c r="F22" s="21"/>
      <c r="G22" s="21"/>
      <c r="H22" s="21"/>
      <c r="I22" s="21"/>
      <c r="J22" s="21"/>
    </row>
    <row r="23" spans="1:10" ht="81" customHeight="1" x14ac:dyDescent="0.25">
      <c r="A23" s="2" t="s">
        <v>435</v>
      </c>
      <c r="B23" s="22" t="s">
        <v>113</v>
      </c>
      <c r="C23" s="23" t="s">
        <v>436</v>
      </c>
      <c r="D23" s="23" t="s">
        <v>401</v>
      </c>
      <c r="E23" s="23" t="s">
        <v>437</v>
      </c>
      <c r="F23" s="2" t="s">
        <v>176</v>
      </c>
      <c r="G23" s="2" t="s">
        <v>158</v>
      </c>
      <c r="H23" s="40">
        <v>46318</v>
      </c>
      <c r="I23" s="2" t="s">
        <v>177</v>
      </c>
      <c r="J23" s="22"/>
    </row>
    <row r="24" spans="1:10" ht="81" customHeight="1" x14ac:dyDescent="0.25">
      <c r="A24" s="2" t="s">
        <v>438</v>
      </c>
      <c r="B24" s="22" t="s">
        <v>114</v>
      </c>
      <c r="C24" s="23" t="s">
        <v>439</v>
      </c>
      <c r="D24" s="23" t="s">
        <v>440</v>
      </c>
      <c r="E24" s="23" t="s">
        <v>441</v>
      </c>
      <c r="F24" s="2" t="s">
        <v>176</v>
      </c>
      <c r="G24" s="2" t="s">
        <v>158</v>
      </c>
      <c r="H24" s="40">
        <v>46318</v>
      </c>
      <c r="I24" s="2" t="s">
        <v>177</v>
      </c>
      <c r="J24" s="22"/>
    </row>
    <row r="25" spans="1:10" ht="81" customHeight="1" x14ac:dyDescent="0.25">
      <c r="A25" s="2" t="s">
        <v>442</v>
      </c>
      <c r="B25" s="22" t="s">
        <v>115</v>
      </c>
      <c r="C25" s="23" t="s">
        <v>443</v>
      </c>
      <c r="D25" s="23" t="s">
        <v>401</v>
      </c>
      <c r="E25" s="23" t="s">
        <v>444</v>
      </c>
      <c r="F25" s="2" t="s">
        <v>176</v>
      </c>
      <c r="G25" s="2" t="s">
        <v>158</v>
      </c>
      <c r="H25" s="40">
        <v>46318</v>
      </c>
      <c r="I25" s="2" t="s">
        <v>186</v>
      </c>
      <c r="J25" s="22"/>
    </row>
    <row r="26" spans="1:10" ht="81" customHeight="1" x14ac:dyDescent="0.25">
      <c r="A26" s="2" t="s">
        <v>445</v>
      </c>
      <c r="B26" s="22" t="s">
        <v>116</v>
      </c>
      <c r="C26" s="23" t="s">
        <v>446</v>
      </c>
      <c r="D26" s="23" t="s">
        <v>401</v>
      </c>
      <c r="E26" s="23" t="s">
        <v>447</v>
      </c>
      <c r="F26" s="2" t="s">
        <v>176</v>
      </c>
      <c r="G26" s="2" t="s">
        <v>158</v>
      </c>
      <c r="H26" s="40">
        <v>46318</v>
      </c>
      <c r="I26" s="2" t="s">
        <v>177</v>
      </c>
      <c r="J26" s="22"/>
    </row>
    <row r="27" spans="1:10" ht="81" customHeight="1" x14ac:dyDescent="0.25">
      <c r="A27" s="2" t="s">
        <v>448</v>
      </c>
      <c r="B27" s="22" t="s">
        <v>117</v>
      </c>
      <c r="C27" s="23" t="s">
        <v>449</v>
      </c>
      <c r="D27" s="23" t="s">
        <v>401</v>
      </c>
      <c r="E27" s="23" t="s">
        <v>450</v>
      </c>
      <c r="F27" s="2" t="s">
        <v>176</v>
      </c>
      <c r="G27" s="2" t="s">
        <v>158</v>
      </c>
      <c r="H27" s="40">
        <v>46318</v>
      </c>
      <c r="I27" s="2" t="s">
        <v>186</v>
      </c>
      <c r="J27" s="22"/>
    </row>
    <row r="28" spans="1:10" ht="21" customHeight="1" x14ac:dyDescent="0.25">
      <c r="A28" s="21"/>
      <c r="B28" s="21" t="s">
        <v>93</v>
      </c>
      <c r="C28" s="21"/>
      <c r="D28" s="21"/>
      <c r="E28" s="21"/>
      <c r="F28" s="21"/>
      <c r="G28" s="21"/>
      <c r="H28" s="21"/>
      <c r="I28" s="21"/>
      <c r="J28" s="21"/>
    </row>
    <row r="29" spans="1:10" ht="96" customHeight="1" x14ac:dyDescent="0.25">
      <c r="A29" s="2" t="s">
        <v>451</v>
      </c>
      <c r="B29" s="22" t="s">
        <v>94</v>
      </c>
      <c r="C29" s="23" t="s">
        <v>452</v>
      </c>
      <c r="D29" s="23" t="s">
        <v>453</v>
      </c>
      <c r="E29" s="23" t="s">
        <v>454</v>
      </c>
      <c r="F29" s="2" t="s">
        <v>176</v>
      </c>
      <c r="G29" s="2" t="s">
        <v>158</v>
      </c>
      <c r="H29" s="40">
        <v>46318</v>
      </c>
      <c r="I29" s="2" t="s">
        <v>177</v>
      </c>
      <c r="J29" s="22"/>
    </row>
    <row r="30" spans="1:10" ht="96" customHeight="1" x14ac:dyDescent="0.25">
      <c r="A30" s="2" t="s">
        <v>455</v>
      </c>
      <c r="B30" s="22" t="s">
        <v>95</v>
      </c>
      <c r="C30" s="23" t="s">
        <v>456</v>
      </c>
      <c r="D30" s="23" t="s">
        <v>453</v>
      </c>
      <c r="E30" s="23" t="s">
        <v>457</v>
      </c>
      <c r="F30" s="2" t="s">
        <v>176</v>
      </c>
      <c r="G30" s="2" t="s">
        <v>158</v>
      </c>
      <c r="H30" s="40">
        <v>46318</v>
      </c>
      <c r="I30" s="2" t="s">
        <v>177</v>
      </c>
      <c r="J30" s="22"/>
    </row>
    <row r="31" spans="1:10" ht="96" customHeight="1" x14ac:dyDescent="0.25">
      <c r="A31" s="2" t="s">
        <v>458</v>
      </c>
      <c r="B31" s="22" t="s">
        <v>96</v>
      </c>
      <c r="C31" s="23" t="s">
        <v>459</v>
      </c>
      <c r="D31" s="23" t="s">
        <v>453</v>
      </c>
      <c r="E31" s="23" t="s">
        <v>460</v>
      </c>
      <c r="F31" s="2" t="s">
        <v>176</v>
      </c>
      <c r="G31" s="2" t="s">
        <v>158</v>
      </c>
      <c r="H31" s="40">
        <v>46318</v>
      </c>
      <c r="I31" s="2" t="s">
        <v>177</v>
      </c>
      <c r="J31" s="22"/>
    </row>
    <row r="32" spans="1:10" ht="81" customHeight="1" x14ac:dyDescent="0.25">
      <c r="A32" s="2" t="s">
        <v>461</v>
      </c>
      <c r="B32" s="22" t="s">
        <v>118</v>
      </c>
      <c r="C32" s="23" t="s">
        <v>462</v>
      </c>
      <c r="D32" s="23" t="s">
        <v>453</v>
      </c>
      <c r="E32" s="23" t="s">
        <v>463</v>
      </c>
      <c r="F32" s="2" t="s">
        <v>176</v>
      </c>
      <c r="G32" s="2" t="s">
        <v>158</v>
      </c>
      <c r="H32" s="40">
        <v>46318</v>
      </c>
      <c r="I32" s="2" t="s">
        <v>177</v>
      </c>
      <c r="J32" s="22"/>
    </row>
    <row r="33" spans="1:10" ht="96" customHeight="1" x14ac:dyDescent="0.25">
      <c r="A33" s="2" t="s">
        <v>464</v>
      </c>
      <c r="B33" s="22" t="s">
        <v>119</v>
      </c>
      <c r="C33" s="23" t="s">
        <v>465</v>
      </c>
      <c r="D33" s="23" t="s">
        <v>453</v>
      </c>
      <c r="E33" s="23" t="s">
        <v>466</v>
      </c>
      <c r="F33" s="2" t="s">
        <v>176</v>
      </c>
      <c r="G33" s="2" t="s">
        <v>158</v>
      </c>
      <c r="H33" s="40">
        <v>46318</v>
      </c>
      <c r="I33" s="2" t="s">
        <v>177</v>
      </c>
      <c r="J33" s="22"/>
    </row>
    <row r="34" spans="1:10" ht="111" customHeight="1" x14ac:dyDescent="0.25">
      <c r="A34" s="2" t="s">
        <v>467</v>
      </c>
      <c r="B34" s="22" t="s">
        <v>120</v>
      </c>
      <c r="C34" s="23" t="s">
        <v>468</v>
      </c>
      <c r="D34" s="23" t="s">
        <v>453</v>
      </c>
      <c r="E34" s="23" t="s">
        <v>469</v>
      </c>
      <c r="F34" s="2" t="s">
        <v>176</v>
      </c>
      <c r="G34" s="2" t="s">
        <v>158</v>
      </c>
      <c r="H34" s="40">
        <v>46318</v>
      </c>
      <c r="I34" s="2" t="s">
        <v>177</v>
      </c>
      <c r="J34" s="22"/>
    </row>
  </sheetData>
  <mergeCells count="7">
    <mergeCell ref="G6:J6"/>
    <mergeCell ref="A7:J7"/>
    <mergeCell ref="A1:J1"/>
    <mergeCell ref="B2:J2"/>
    <mergeCell ref="B3:J3"/>
    <mergeCell ref="B4:J4"/>
    <mergeCell ref="G5:J5"/>
  </mergeCells>
  <conditionalFormatting sqref="G10:G995">
    <cfRule type="cellIs" dxfId="2" priority="2" operator="equal">
      <formula>"Failed"</formula>
    </cfRule>
  </conditionalFormatting>
  <dataValidations count="2">
    <dataValidation type="list" allowBlank="1" showErrorMessage="1" sqref="G10:G995" xr:uid="{00000000-0002-0000-0400-000000000000}">
      <formula1>"Untested,Passed,Failed,Blocked,Skipped"</formula1>
      <formula2>0</formula2>
    </dataValidation>
    <dataValidation type="list" allowBlank="1" sqref="I10:I995" xr:uid="{00000000-0002-0000-04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1"/>
  <sheetViews>
    <sheetView zoomScale="82" zoomScaleNormal="82" workbookViewId="0">
      <pane ySplit="8" topLeftCell="A36" activePane="bottomLeft" state="frozen"/>
      <selection pane="bottomLeft" activeCell="D39" sqref="D39"/>
    </sheetView>
  </sheetViews>
  <sheetFormatPr defaultColWidth="8.7109375" defaultRowHeight="15" x14ac:dyDescent="0.25"/>
  <cols>
    <col min="1" max="1" width="27.28515625" customWidth="1"/>
    <col min="2" max="2" width="45" customWidth="1"/>
    <col min="3" max="3" width="57.85546875" customWidth="1"/>
    <col min="4" max="4" width="40" customWidth="1"/>
    <col min="5" max="5" width="55" customWidth="1"/>
    <col min="6" max="6" width="27.85546875" customWidth="1"/>
    <col min="7" max="7" width="12.28515625" customWidth="1"/>
    <col min="8" max="8" width="12.5703125" customWidth="1"/>
    <col min="9" max="9" width="14" customWidth="1"/>
    <col min="10" max="10" width="38" customWidth="1"/>
  </cols>
  <sheetData>
    <row r="1" spans="1:10" ht="14.25" customHeight="1" x14ac:dyDescent="0.25">
      <c r="A1" s="47"/>
      <c r="B1" s="47"/>
      <c r="C1" s="47"/>
      <c r="D1" s="47"/>
      <c r="E1" s="47"/>
      <c r="F1" s="47"/>
      <c r="G1" s="47"/>
      <c r="H1" s="47"/>
      <c r="I1" s="47"/>
      <c r="J1" s="47"/>
    </row>
    <row r="2" spans="1:10" ht="17.25" customHeight="1" x14ac:dyDescent="0.25">
      <c r="A2" s="19" t="s">
        <v>154</v>
      </c>
      <c r="B2" s="49" t="s">
        <v>121</v>
      </c>
      <c r="C2" s="49"/>
      <c r="D2" s="49"/>
      <c r="E2" s="49"/>
      <c r="F2" s="49"/>
      <c r="G2" s="49"/>
      <c r="H2" s="49"/>
      <c r="I2" s="49"/>
      <c r="J2" s="49"/>
    </row>
    <row r="3" spans="1:10" ht="16.5" customHeight="1" x14ac:dyDescent="0.25">
      <c r="A3" s="19" t="s">
        <v>155</v>
      </c>
      <c r="B3" s="49" t="s">
        <v>470</v>
      </c>
      <c r="C3" s="49"/>
      <c r="D3" s="49"/>
      <c r="E3" s="49"/>
      <c r="F3" s="49"/>
      <c r="G3" s="49"/>
      <c r="H3" s="49"/>
      <c r="I3" s="49"/>
      <c r="J3" s="49"/>
    </row>
    <row r="4" spans="1:10" ht="17.25" customHeight="1" x14ac:dyDescent="0.25">
      <c r="A4" s="19" t="s">
        <v>156</v>
      </c>
      <c r="B4" s="49" t="s">
        <v>157</v>
      </c>
      <c r="C4" s="49"/>
      <c r="D4" s="49"/>
      <c r="E4" s="49"/>
      <c r="F4" s="49"/>
      <c r="G4" s="49"/>
      <c r="H4" s="49"/>
      <c r="I4" s="49"/>
      <c r="J4" s="49"/>
    </row>
    <row r="5" spans="1:10" ht="17.25" customHeight="1" x14ac:dyDescent="0.25">
      <c r="A5" s="3" t="s">
        <v>158</v>
      </c>
      <c r="B5" s="3" t="s">
        <v>159</v>
      </c>
      <c r="C5" s="3" t="s">
        <v>160</v>
      </c>
      <c r="D5" s="3" t="s">
        <v>161</v>
      </c>
      <c r="E5" s="3" t="s">
        <v>162</v>
      </c>
      <c r="F5" s="3" t="s">
        <v>163</v>
      </c>
      <c r="G5" s="50"/>
      <c r="H5" s="50"/>
      <c r="I5" s="50"/>
      <c r="J5" s="50"/>
    </row>
    <row r="6" spans="1:10" ht="19.5" customHeight="1" x14ac:dyDescent="0.25">
      <c r="A6" s="2">
        <f>COUNTIF($G$10:$G$989,"Passed")</f>
        <v>24</v>
      </c>
      <c r="B6" s="2">
        <f>COUNTIF($G$10:$G$989,"Failed")</f>
        <v>2</v>
      </c>
      <c r="C6" s="2">
        <f>COUNTIF($G$10:$G$989,"Untested")</f>
        <v>0</v>
      </c>
      <c r="D6" s="2">
        <f>COUNTIF($G$10:$G$989,"Blocked")</f>
        <v>0</v>
      </c>
      <c r="E6" s="2">
        <f>COUNTIF($G$10:$G$989,"Skipped")</f>
        <v>0</v>
      </c>
      <c r="F6" s="2">
        <f>COUNTA($A$10:$A$989)</f>
        <v>26</v>
      </c>
      <c r="G6" s="48"/>
      <c r="H6" s="48"/>
      <c r="I6" s="48"/>
      <c r="J6" s="48"/>
    </row>
    <row r="7" spans="1:10" ht="19.5" customHeight="1" x14ac:dyDescent="0.25">
      <c r="A7" s="47"/>
      <c r="B7" s="47"/>
      <c r="C7" s="47"/>
      <c r="D7" s="47"/>
      <c r="E7" s="47"/>
      <c r="F7" s="47"/>
      <c r="G7" s="47"/>
      <c r="H7" s="47"/>
      <c r="I7" s="47"/>
      <c r="J7" s="47"/>
    </row>
    <row r="8" spans="1:10" ht="33" customHeight="1" x14ac:dyDescent="0.25">
      <c r="A8" s="20" t="s">
        <v>164</v>
      </c>
      <c r="B8" s="20" t="s">
        <v>165</v>
      </c>
      <c r="C8" s="20" t="s">
        <v>166</v>
      </c>
      <c r="D8" s="20" t="s">
        <v>167</v>
      </c>
      <c r="E8" s="20" t="s">
        <v>168</v>
      </c>
      <c r="F8" s="20" t="s">
        <v>169</v>
      </c>
      <c r="G8" s="20" t="s">
        <v>170</v>
      </c>
      <c r="H8" s="20" t="s">
        <v>171</v>
      </c>
      <c r="I8" s="20" t="s">
        <v>575</v>
      </c>
      <c r="J8" s="20" t="s">
        <v>24</v>
      </c>
    </row>
    <row r="9" spans="1:10" ht="21" customHeight="1" x14ac:dyDescent="0.25">
      <c r="A9" s="21"/>
      <c r="B9" s="21" t="s">
        <v>122</v>
      </c>
      <c r="C9" s="21"/>
      <c r="D9" s="21"/>
      <c r="E9" s="21"/>
      <c r="F9" s="21"/>
      <c r="G9" s="21"/>
      <c r="H9" s="21"/>
      <c r="I9" s="21"/>
      <c r="J9" s="21"/>
    </row>
    <row r="10" spans="1:10" ht="66" customHeight="1" x14ac:dyDescent="0.25">
      <c r="A10" s="2" t="s">
        <v>471</v>
      </c>
      <c r="B10" s="22" t="s">
        <v>123</v>
      </c>
      <c r="C10" s="23" t="s">
        <v>472</v>
      </c>
      <c r="D10" s="23" t="s">
        <v>473</v>
      </c>
      <c r="E10" s="23" t="s">
        <v>474</v>
      </c>
      <c r="F10" s="2" t="s">
        <v>176</v>
      </c>
      <c r="G10" s="2" t="s">
        <v>158</v>
      </c>
      <c r="H10" s="40">
        <v>46319</v>
      </c>
      <c r="I10" s="2" t="s">
        <v>177</v>
      </c>
      <c r="J10" s="22"/>
    </row>
    <row r="11" spans="1:10" ht="66" customHeight="1" x14ac:dyDescent="0.25">
      <c r="A11" s="2" t="s">
        <v>475</v>
      </c>
      <c r="B11" s="22" t="s">
        <v>124</v>
      </c>
      <c r="C11" s="23" t="s">
        <v>476</v>
      </c>
      <c r="D11" s="23" t="s">
        <v>477</v>
      </c>
      <c r="E11" s="23" t="s">
        <v>478</v>
      </c>
      <c r="F11" s="2" t="s">
        <v>176</v>
      </c>
      <c r="G11" s="2" t="s">
        <v>158</v>
      </c>
      <c r="H11" s="40">
        <v>46319</v>
      </c>
      <c r="I11" s="2" t="s">
        <v>177</v>
      </c>
      <c r="J11" s="22"/>
    </row>
    <row r="12" spans="1:10" ht="66" customHeight="1" x14ac:dyDescent="0.25">
      <c r="A12" s="2" t="s">
        <v>479</v>
      </c>
      <c r="B12" s="22" t="s">
        <v>125</v>
      </c>
      <c r="C12" s="23" t="s">
        <v>480</v>
      </c>
      <c r="D12" s="23" t="s">
        <v>481</v>
      </c>
      <c r="E12" s="23" t="s">
        <v>482</v>
      </c>
      <c r="F12" s="2" t="s">
        <v>176</v>
      </c>
      <c r="G12" s="24" t="s">
        <v>158</v>
      </c>
      <c r="H12" s="40">
        <v>46319</v>
      </c>
      <c r="I12" s="24" t="s">
        <v>177</v>
      </c>
      <c r="J12" s="22"/>
    </row>
    <row r="13" spans="1:10" ht="66" customHeight="1" x14ac:dyDescent="0.25">
      <c r="A13" s="2" t="s">
        <v>483</v>
      </c>
      <c r="B13" s="22" t="s">
        <v>126</v>
      </c>
      <c r="C13" s="23" t="s">
        <v>484</v>
      </c>
      <c r="D13" s="23" t="s">
        <v>485</v>
      </c>
      <c r="E13" s="23" t="s">
        <v>486</v>
      </c>
      <c r="F13" s="2" t="s">
        <v>176</v>
      </c>
      <c r="G13" s="2" t="s">
        <v>158</v>
      </c>
      <c r="H13" s="40">
        <v>46319</v>
      </c>
      <c r="I13" s="2" t="s">
        <v>177</v>
      </c>
      <c r="J13" s="22"/>
    </row>
    <row r="14" spans="1:10" ht="66" customHeight="1" x14ac:dyDescent="0.25">
      <c r="A14" s="2" t="s">
        <v>487</v>
      </c>
      <c r="B14" s="22" t="s">
        <v>127</v>
      </c>
      <c r="C14" s="23" t="s">
        <v>488</v>
      </c>
      <c r="D14" s="23" t="s">
        <v>489</v>
      </c>
      <c r="E14" s="23" t="s">
        <v>490</v>
      </c>
      <c r="F14" s="2" t="s">
        <v>176</v>
      </c>
      <c r="G14" s="2" t="s">
        <v>159</v>
      </c>
      <c r="H14" s="40">
        <v>46319</v>
      </c>
      <c r="I14" s="2" t="s">
        <v>177</v>
      </c>
      <c r="J14" s="22"/>
    </row>
    <row r="15" spans="1:10" ht="66" customHeight="1" x14ac:dyDescent="0.25">
      <c r="A15" s="2" t="s">
        <v>491</v>
      </c>
      <c r="B15" s="22" t="s">
        <v>128</v>
      </c>
      <c r="C15" s="23" t="s">
        <v>492</v>
      </c>
      <c r="D15" s="23" t="s">
        <v>493</v>
      </c>
      <c r="E15" s="23" t="s">
        <v>494</v>
      </c>
      <c r="F15" s="2" t="s">
        <v>176</v>
      </c>
      <c r="G15" s="2" t="s">
        <v>158</v>
      </c>
      <c r="H15" s="40">
        <v>46319</v>
      </c>
      <c r="I15" s="2" t="s">
        <v>177</v>
      </c>
      <c r="J15" s="22"/>
    </row>
    <row r="16" spans="1:10" ht="81" customHeight="1" x14ac:dyDescent="0.25">
      <c r="A16" s="2" t="s">
        <v>495</v>
      </c>
      <c r="B16" s="22" t="s">
        <v>129</v>
      </c>
      <c r="C16" s="23" t="s">
        <v>496</v>
      </c>
      <c r="D16" s="23" t="s">
        <v>497</v>
      </c>
      <c r="E16" s="23" t="s">
        <v>498</v>
      </c>
      <c r="F16" s="2" t="s">
        <v>176</v>
      </c>
      <c r="G16" s="2" t="s">
        <v>158</v>
      </c>
      <c r="H16" s="40">
        <v>46319</v>
      </c>
      <c r="I16" s="2" t="s">
        <v>177</v>
      </c>
      <c r="J16" s="22"/>
    </row>
    <row r="17" spans="1:10" ht="81" customHeight="1" x14ac:dyDescent="0.25">
      <c r="A17" s="2" t="s">
        <v>499</v>
      </c>
      <c r="B17" s="22" t="s">
        <v>130</v>
      </c>
      <c r="C17" s="23" t="s">
        <v>500</v>
      </c>
      <c r="D17" s="23" t="s">
        <v>501</v>
      </c>
      <c r="E17" s="23" t="s">
        <v>502</v>
      </c>
      <c r="F17" s="2" t="s">
        <v>176</v>
      </c>
      <c r="G17" s="2" t="s">
        <v>158</v>
      </c>
      <c r="H17" s="40">
        <v>46319</v>
      </c>
      <c r="I17" s="2" t="s">
        <v>177</v>
      </c>
      <c r="J17" s="22"/>
    </row>
    <row r="18" spans="1:10" ht="21" customHeight="1" x14ac:dyDescent="0.25">
      <c r="A18" s="21"/>
      <c r="B18" s="21" t="s">
        <v>131</v>
      </c>
      <c r="C18" s="21"/>
      <c r="D18" s="21"/>
      <c r="E18" s="21"/>
      <c r="F18" s="21"/>
      <c r="G18" s="21"/>
      <c r="H18" s="21"/>
      <c r="I18" s="21"/>
      <c r="J18" s="21"/>
    </row>
    <row r="19" spans="1:10" ht="66" customHeight="1" x14ac:dyDescent="0.25">
      <c r="A19" s="2" t="s">
        <v>503</v>
      </c>
      <c r="B19" s="22" t="s">
        <v>132</v>
      </c>
      <c r="C19" s="23" t="s">
        <v>504</v>
      </c>
      <c r="D19" s="23" t="s">
        <v>473</v>
      </c>
      <c r="E19" s="23" t="s">
        <v>505</v>
      </c>
      <c r="F19" s="2" t="s">
        <v>176</v>
      </c>
      <c r="G19" s="2" t="s">
        <v>158</v>
      </c>
      <c r="H19" s="40">
        <v>46319</v>
      </c>
      <c r="I19" s="2" t="s">
        <v>177</v>
      </c>
      <c r="J19" s="22"/>
    </row>
    <row r="20" spans="1:10" ht="85.5" customHeight="1" x14ac:dyDescent="0.25">
      <c r="A20" s="2" t="s">
        <v>506</v>
      </c>
      <c r="B20" s="22" t="s">
        <v>133</v>
      </c>
      <c r="C20" s="23" t="s">
        <v>507</v>
      </c>
      <c r="D20" s="23" t="s">
        <v>508</v>
      </c>
      <c r="E20" s="23" t="s">
        <v>509</v>
      </c>
      <c r="F20" s="2" t="s">
        <v>176</v>
      </c>
      <c r="G20" s="2" t="s">
        <v>158</v>
      </c>
      <c r="H20" s="40">
        <v>46319</v>
      </c>
      <c r="I20" s="2" t="s">
        <v>177</v>
      </c>
      <c r="J20" s="22"/>
    </row>
    <row r="21" spans="1:10" ht="81" customHeight="1" x14ac:dyDescent="0.25">
      <c r="A21" s="2" t="s">
        <v>510</v>
      </c>
      <c r="B21" s="22" t="s">
        <v>134</v>
      </c>
      <c r="C21" s="23" t="s">
        <v>511</v>
      </c>
      <c r="D21" s="23" t="s">
        <v>512</v>
      </c>
      <c r="E21" s="23" t="s">
        <v>513</v>
      </c>
      <c r="F21" s="2" t="s">
        <v>176</v>
      </c>
      <c r="G21" s="2" t="s">
        <v>158</v>
      </c>
      <c r="H21" s="40">
        <v>46319</v>
      </c>
      <c r="I21" s="2" t="s">
        <v>177</v>
      </c>
      <c r="J21" s="22"/>
    </row>
    <row r="22" spans="1:10" ht="21" customHeight="1" x14ac:dyDescent="0.25">
      <c r="A22" s="21"/>
      <c r="B22" s="21" t="s">
        <v>135</v>
      </c>
      <c r="C22" s="21"/>
      <c r="D22" s="21"/>
      <c r="E22" s="21"/>
      <c r="F22" s="21"/>
      <c r="G22" s="21"/>
      <c r="H22" s="21"/>
      <c r="I22" s="21"/>
      <c r="J22" s="21"/>
    </row>
    <row r="23" spans="1:10" ht="66" customHeight="1" x14ac:dyDescent="0.25">
      <c r="A23" s="2" t="s">
        <v>514</v>
      </c>
      <c r="B23" s="22" t="s">
        <v>136</v>
      </c>
      <c r="C23" s="23" t="s">
        <v>515</v>
      </c>
      <c r="D23" s="23" t="s">
        <v>473</v>
      </c>
      <c r="E23" s="23" t="s">
        <v>516</v>
      </c>
      <c r="F23" s="2" t="s">
        <v>176</v>
      </c>
      <c r="G23" s="2" t="s">
        <v>158</v>
      </c>
      <c r="H23" s="40">
        <v>46319</v>
      </c>
      <c r="I23" s="2" t="s">
        <v>177</v>
      </c>
      <c r="J23" s="22"/>
    </row>
    <row r="24" spans="1:10" ht="81" customHeight="1" x14ac:dyDescent="0.25">
      <c r="A24" s="2" t="s">
        <v>517</v>
      </c>
      <c r="B24" s="22" t="s">
        <v>137</v>
      </c>
      <c r="C24" s="23" t="s">
        <v>518</v>
      </c>
      <c r="D24" s="23" t="s">
        <v>519</v>
      </c>
      <c r="E24" s="23" t="s">
        <v>520</v>
      </c>
      <c r="F24" s="2" t="s">
        <v>176</v>
      </c>
      <c r="G24" s="2" t="s">
        <v>158</v>
      </c>
      <c r="H24" s="40">
        <v>46319</v>
      </c>
      <c r="I24" s="2" t="s">
        <v>177</v>
      </c>
      <c r="J24" s="22"/>
    </row>
    <row r="25" spans="1:10" ht="21" customHeight="1" x14ac:dyDescent="0.25">
      <c r="A25" s="21"/>
      <c r="B25" s="21" t="s">
        <v>138</v>
      </c>
      <c r="C25" s="21"/>
      <c r="D25" s="21"/>
      <c r="E25" s="21"/>
      <c r="F25" s="21"/>
      <c r="G25" s="21"/>
      <c r="H25" s="21"/>
      <c r="I25" s="21"/>
      <c r="J25" s="21"/>
    </row>
    <row r="26" spans="1:10" ht="66" customHeight="1" x14ac:dyDescent="0.25">
      <c r="A26" s="2" t="s">
        <v>521</v>
      </c>
      <c r="B26" s="22" t="s">
        <v>139</v>
      </c>
      <c r="C26" s="23" t="s">
        <v>522</v>
      </c>
      <c r="D26" s="23" t="s">
        <v>523</v>
      </c>
      <c r="E26" s="23" t="s">
        <v>524</v>
      </c>
      <c r="F26" s="2" t="s">
        <v>176</v>
      </c>
      <c r="G26" s="2" t="s">
        <v>158</v>
      </c>
      <c r="H26" s="40">
        <v>46319</v>
      </c>
      <c r="I26" s="2" t="s">
        <v>177</v>
      </c>
      <c r="J26" s="22"/>
    </row>
    <row r="27" spans="1:10" ht="66" customHeight="1" x14ac:dyDescent="0.25">
      <c r="A27" s="2" t="s">
        <v>525</v>
      </c>
      <c r="B27" s="22" t="s">
        <v>140</v>
      </c>
      <c r="C27" s="23" t="s">
        <v>526</v>
      </c>
      <c r="D27" s="23" t="s">
        <v>508</v>
      </c>
      <c r="E27" s="23" t="s">
        <v>527</v>
      </c>
      <c r="F27" s="2" t="s">
        <v>176</v>
      </c>
      <c r="G27" s="2" t="s">
        <v>159</v>
      </c>
      <c r="H27" s="40">
        <v>46319</v>
      </c>
      <c r="I27" s="2" t="s">
        <v>177</v>
      </c>
      <c r="J27" s="22"/>
    </row>
    <row r="28" spans="1:10" ht="81" customHeight="1" x14ac:dyDescent="0.25">
      <c r="A28" s="2" t="s">
        <v>528</v>
      </c>
      <c r="B28" s="22" t="s">
        <v>141</v>
      </c>
      <c r="C28" s="23" t="s">
        <v>529</v>
      </c>
      <c r="D28" s="23" t="s">
        <v>512</v>
      </c>
      <c r="E28" s="23" t="s">
        <v>530</v>
      </c>
      <c r="F28" s="2" t="s">
        <v>176</v>
      </c>
      <c r="G28" s="2" t="s">
        <v>158</v>
      </c>
      <c r="H28" s="40">
        <v>46319</v>
      </c>
      <c r="I28" s="2" t="s">
        <v>177</v>
      </c>
      <c r="J28" s="22"/>
    </row>
    <row r="29" spans="1:10" ht="21" customHeight="1" x14ac:dyDescent="0.25">
      <c r="A29" s="21"/>
      <c r="B29" s="21" t="s">
        <v>142</v>
      </c>
      <c r="C29" s="21"/>
      <c r="D29" s="21"/>
      <c r="E29" s="21"/>
      <c r="F29" s="21"/>
      <c r="G29" s="21"/>
      <c r="H29" s="21"/>
      <c r="I29" s="21"/>
      <c r="J29" s="21"/>
    </row>
    <row r="30" spans="1:10" ht="66" customHeight="1" x14ac:dyDescent="0.25">
      <c r="A30" s="2" t="s">
        <v>531</v>
      </c>
      <c r="B30" s="22" t="s">
        <v>143</v>
      </c>
      <c r="C30" s="23" t="s">
        <v>532</v>
      </c>
      <c r="D30" s="23" t="s">
        <v>473</v>
      </c>
      <c r="E30" s="23" t="s">
        <v>533</v>
      </c>
      <c r="F30" s="2" t="s">
        <v>176</v>
      </c>
      <c r="G30" s="2" t="s">
        <v>158</v>
      </c>
      <c r="H30" s="40">
        <v>46319</v>
      </c>
      <c r="I30" s="2" t="s">
        <v>177</v>
      </c>
      <c r="J30" s="22"/>
    </row>
    <row r="31" spans="1:10" ht="81" customHeight="1" x14ac:dyDescent="0.25">
      <c r="A31" s="2" t="s">
        <v>534</v>
      </c>
      <c r="B31" s="22" t="s">
        <v>144</v>
      </c>
      <c r="C31" s="23" t="s">
        <v>535</v>
      </c>
      <c r="D31" s="23" t="s">
        <v>473</v>
      </c>
      <c r="E31" s="23" t="s">
        <v>536</v>
      </c>
      <c r="F31" s="2" t="s">
        <v>176</v>
      </c>
      <c r="G31" s="2" t="s">
        <v>158</v>
      </c>
      <c r="H31" s="40">
        <v>46319</v>
      </c>
      <c r="I31" s="2" t="s">
        <v>177</v>
      </c>
      <c r="J31" s="22"/>
    </row>
    <row r="32" spans="1:10" ht="81" customHeight="1" x14ac:dyDescent="0.25">
      <c r="A32" s="2" t="s">
        <v>537</v>
      </c>
      <c r="B32" s="22" t="s">
        <v>145</v>
      </c>
      <c r="C32" s="23" t="s">
        <v>538</v>
      </c>
      <c r="D32" s="23" t="s">
        <v>539</v>
      </c>
      <c r="E32" s="23" t="s">
        <v>540</v>
      </c>
      <c r="F32" s="2" t="s">
        <v>176</v>
      </c>
      <c r="G32" s="2" t="s">
        <v>158</v>
      </c>
      <c r="H32" s="40">
        <v>46319</v>
      </c>
      <c r="I32" s="2" t="s">
        <v>177</v>
      </c>
      <c r="J32" s="22"/>
    </row>
    <row r="33" spans="1:10" ht="81" customHeight="1" x14ac:dyDescent="0.25">
      <c r="A33" s="2" t="s">
        <v>541</v>
      </c>
      <c r="B33" s="22" t="s">
        <v>146</v>
      </c>
      <c r="C33" s="23" t="s">
        <v>542</v>
      </c>
      <c r="D33" s="23" t="s">
        <v>543</v>
      </c>
      <c r="E33" s="23" t="s">
        <v>544</v>
      </c>
      <c r="F33" s="2" t="s">
        <v>176</v>
      </c>
      <c r="G33" s="2" t="s">
        <v>158</v>
      </c>
      <c r="H33" s="40">
        <v>46319</v>
      </c>
      <c r="I33" s="2" t="s">
        <v>177</v>
      </c>
      <c r="J33" s="22"/>
    </row>
    <row r="34" spans="1:10" ht="21" customHeight="1" x14ac:dyDescent="0.25">
      <c r="A34" s="21"/>
      <c r="B34" s="21" t="s">
        <v>147</v>
      </c>
      <c r="C34" s="21"/>
      <c r="D34" s="21"/>
      <c r="E34" s="21"/>
      <c r="F34" s="21"/>
      <c r="G34" s="21"/>
      <c r="H34" s="21"/>
      <c r="I34" s="21"/>
      <c r="J34" s="21"/>
    </row>
    <row r="35" spans="1:10" ht="66" customHeight="1" x14ac:dyDescent="0.25">
      <c r="A35" s="2" t="s">
        <v>545</v>
      </c>
      <c r="B35" s="22" t="s">
        <v>148</v>
      </c>
      <c r="C35" s="23" t="s">
        <v>546</v>
      </c>
      <c r="D35" s="23" t="s">
        <v>473</v>
      </c>
      <c r="E35" s="23" t="s">
        <v>583</v>
      </c>
      <c r="F35" s="2" t="s">
        <v>176</v>
      </c>
      <c r="G35" s="2" t="s">
        <v>158</v>
      </c>
      <c r="H35" s="40">
        <v>46319</v>
      </c>
      <c r="I35" s="2" t="s">
        <v>177</v>
      </c>
      <c r="J35" s="22"/>
    </row>
    <row r="36" spans="1:10" ht="81" customHeight="1" x14ac:dyDescent="0.25">
      <c r="A36" s="2" t="s">
        <v>547</v>
      </c>
      <c r="B36" s="22" t="s">
        <v>149</v>
      </c>
      <c r="C36" s="23" t="s">
        <v>548</v>
      </c>
      <c r="D36" s="23" t="s">
        <v>543</v>
      </c>
      <c r="E36" s="23" t="s">
        <v>584</v>
      </c>
      <c r="F36" s="2" t="s">
        <v>176</v>
      </c>
      <c r="G36" s="2" t="s">
        <v>158</v>
      </c>
      <c r="H36" s="40">
        <v>46319</v>
      </c>
      <c r="I36" s="2" t="s">
        <v>186</v>
      </c>
      <c r="J36" s="22"/>
    </row>
    <row r="37" spans="1:10" ht="66" customHeight="1" x14ac:dyDescent="0.25">
      <c r="A37" s="2" t="s">
        <v>549</v>
      </c>
      <c r="B37" s="22" t="s">
        <v>150</v>
      </c>
      <c r="C37" s="23" t="s">
        <v>550</v>
      </c>
      <c r="D37" s="23" t="s">
        <v>551</v>
      </c>
      <c r="E37" s="23" t="s">
        <v>552</v>
      </c>
      <c r="F37" s="2" t="s">
        <v>176</v>
      </c>
      <c r="G37" s="2" t="s">
        <v>158</v>
      </c>
      <c r="H37" s="40">
        <v>46319</v>
      </c>
      <c r="I37" s="2" t="s">
        <v>186</v>
      </c>
      <c r="J37" s="22"/>
    </row>
    <row r="38" spans="1:10" ht="81" customHeight="1" x14ac:dyDescent="0.25">
      <c r="A38" s="2" t="s">
        <v>553</v>
      </c>
      <c r="B38" s="22" t="s">
        <v>151</v>
      </c>
      <c r="C38" s="23" t="s">
        <v>554</v>
      </c>
      <c r="D38" s="23" t="s">
        <v>473</v>
      </c>
      <c r="E38" s="23" t="s">
        <v>585</v>
      </c>
      <c r="F38" s="2" t="s">
        <v>176</v>
      </c>
      <c r="G38" s="2" t="s">
        <v>158</v>
      </c>
      <c r="H38" s="40">
        <v>46319</v>
      </c>
      <c r="I38" s="2" t="s">
        <v>177</v>
      </c>
      <c r="J38" s="22"/>
    </row>
    <row r="39" spans="1:10" ht="21" customHeight="1" x14ac:dyDescent="0.25">
      <c r="A39" s="21"/>
      <c r="B39" s="21" t="s">
        <v>93</v>
      </c>
      <c r="C39" s="21"/>
      <c r="D39" s="21"/>
      <c r="E39" s="21"/>
      <c r="F39" s="21"/>
      <c r="G39" s="21"/>
      <c r="H39" s="21"/>
      <c r="I39" s="21"/>
      <c r="J39" s="21"/>
    </row>
    <row r="40" spans="1:10" ht="81" customHeight="1" x14ac:dyDescent="0.25">
      <c r="A40" s="2" t="s">
        <v>555</v>
      </c>
      <c r="B40" s="22" t="s">
        <v>152</v>
      </c>
      <c r="C40" s="23" t="s">
        <v>556</v>
      </c>
      <c r="D40" s="23" t="s">
        <v>557</v>
      </c>
      <c r="E40" s="23" t="s">
        <v>558</v>
      </c>
      <c r="F40" s="2" t="s">
        <v>176</v>
      </c>
      <c r="G40" s="2" t="s">
        <v>158</v>
      </c>
      <c r="H40" s="40">
        <v>46319</v>
      </c>
      <c r="I40" s="2" t="s">
        <v>177</v>
      </c>
      <c r="J40" s="22"/>
    </row>
    <row r="41" spans="1:10" ht="81" customHeight="1" x14ac:dyDescent="0.25">
      <c r="A41" s="2" t="s">
        <v>559</v>
      </c>
      <c r="B41" s="22" t="s">
        <v>153</v>
      </c>
      <c r="C41" s="23" t="s">
        <v>560</v>
      </c>
      <c r="D41" s="23" t="s">
        <v>561</v>
      </c>
      <c r="E41" s="23" t="s">
        <v>562</v>
      </c>
      <c r="F41" s="2" t="s">
        <v>176</v>
      </c>
      <c r="G41" s="2" t="s">
        <v>158</v>
      </c>
      <c r="H41" s="40">
        <v>46319</v>
      </c>
      <c r="I41" s="2" t="s">
        <v>177</v>
      </c>
      <c r="J41" s="22"/>
    </row>
  </sheetData>
  <mergeCells count="7">
    <mergeCell ref="G6:J6"/>
    <mergeCell ref="A7:J7"/>
    <mergeCell ref="A1:J1"/>
    <mergeCell ref="B2:J2"/>
    <mergeCell ref="B3:J3"/>
    <mergeCell ref="B4:J4"/>
    <mergeCell ref="G5:J5"/>
  </mergeCells>
  <conditionalFormatting sqref="G10:G41">
    <cfRule type="containsText" dxfId="1" priority="2" operator="containsText" text="Failed">
      <formula>NOT(ISERROR(SEARCH("Failed",G10)))</formula>
    </cfRule>
  </conditionalFormatting>
  <conditionalFormatting sqref="G10:G988">
    <cfRule type="cellIs" dxfId="0" priority="3" operator="equal">
      <formula>"Failed"</formula>
    </cfRule>
  </conditionalFormatting>
  <dataValidations count="2">
    <dataValidation type="list" allowBlank="1" showErrorMessage="1" sqref="G10:G988" xr:uid="{00000000-0002-0000-0500-000000000000}">
      <formula1>"Untested,Passed,Failed,Blocked,Skipped"</formula1>
      <formula2>0</formula2>
    </dataValidation>
    <dataValidation type="list" allowBlank="1" sqref="I10:I995" xr:uid="{00000000-0002-0000-05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zoomScaleNormal="100" workbookViewId="0">
      <selection activeCell="E14" sqref="E14"/>
    </sheetView>
  </sheetViews>
  <sheetFormatPr defaultColWidth="8.7109375" defaultRowHeight="15" x14ac:dyDescent="0.25"/>
  <cols>
    <col min="2" max="2" width="20" customWidth="1"/>
    <col min="3" max="3" width="28.5703125" customWidth="1"/>
    <col min="4" max="4" width="24.7109375" customWidth="1"/>
    <col min="6" max="6" width="15.42578125" customWidth="1"/>
    <col min="8" max="8" width="13.7109375" customWidth="1"/>
    <col min="9" max="9" width="25.5703125" customWidth="1"/>
  </cols>
  <sheetData>
    <row r="1" spans="1:9" ht="15" customHeight="1" x14ac:dyDescent="0.25">
      <c r="A1" s="55" t="s">
        <v>563</v>
      </c>
      <c r="B1" s="55"/>
      <c r="C1" s="55"/>
      <c r="D1" s="55"/>
      <c r="E1" s="55"/>
      <c r="F1" s="55"/>
      <c r="G1" s="55"/>
      <c r="H1" s="55"/>
      <c r="I1" s="25"/>
    </row>
    <row r="2" spans="1:9" ht="15" customHeight="1" x14ac:dyDescent="0.25">
      <c r="A2" s="55"/>
      <c r="B2" s="55"/>
      <c r="C2" s="55"/>
      <c r="D2" s="55"/>
      <c r="E2" s="55"/>
      <c r="F2" s="55"/>
      <c r="G2" s="55"/>
      <c r="H2" s="55"/>
      <c r="I2" s="25"/>
    </row>
    <row r="3" spans="1:9" ht="29.25" customHeight="1" x14ac:dyDescent="0.25">
      <c r="A3" s="25"/>
      <c r="B3" s="1" t="s">
        <v>1</v>
      </c>
      <c r="C3" s="56" t="s">
        <v>2</v>
      </c>
      <c r="D3" s="56"/>
      <c r="E3" s="57" t="s">
        <v>564</v>
      </c>
      <c r="F3" s="57"/>
      <c r="G3" s="26" t="s">
        <v>157</v>
      </c>
      <c r="H3" s="27"/>
      <c r="I3" s="25"/>
    </row>
    <row r="4" spans="1:9" ht="26.25" customHeight="1" x14ac:dyDescent="0.25">
      <c r="A4" s="25"/>
      <c r="B4" s="1" t="s">
        <v>3</v>
      </c>
      <c r="C4" s="51"/>
      <c r="D4" s="51"/>
      <c r="E4" s="52" t="s">
        <v>565</v>
      </c>
      <c r="F4" s="52"/>
      <c r="G4" s="58"/>
      <c r="H4" s="58"/>
      <c r="I4" s="25"/>
    </row>
    <row r="5" spans="1:9" ht="26.25" customHeight="1" x14ac:dyDescent="0.25">
      <c r="A5" s="25"/>
      <c r="B5" s="1" t="s">
        <v>566</v>
      </c>
      <c r="C5" s="51"/>
      <c r="D5" s="51"/>
      <c r="E5" s="52" t="s">
        <v>567</v>
      </c>
      <c r="F5" s="52"/>
      <c r="G5" s="53">
        <v>46317</v>
      </c>
      <c r="H5" s="53"/>
      <c r="I5" s="25"/>
    </row>
    <row r="6" spans="1:9" ht="15" customHeight="1" x14ac:dyDescent="0.25">
      <c r="A6" s="25"/>
      <c r="B6" s="1" t="s">
        <v>568</v>
      </c>
      <c r="C6" s="54"/>
      <c r="D6" s="54"/>
      <c r="E6" s="54"/>
      <c r="F6" s="54"/>
      <c r="G6" s="54"/>
      <c r="H6" s="54"/>
      <c r="I6" s="25"/>
    </row>
    <row r="7" spans="1:9" ht="15" customHeight="1" x14ac:dyDescent="0.25">
      <c r="A7" s="25"/>
      <c r="B7" s="25"/>
      <c r="C7" s="25"/>
      <c r="D7" s="25"/>
      <c r="E7" s="25"/>
      <c r="F7" s="25"/>
      <c r="G7" s="25"/>
      <c r="H7" s="25"/>
      <c r="I7" s="25"/>
    </row>
    <row r="8" spans="1:9" ht="15" customHeight="1" x14ac:dyDescent="0.25">
      <c r="A8" s="25"/>
      <c r="B8" s="25"/>
      <c r="C8" s="25"/>
      <c r="D8" s="25"/>
      <c r="E8" s="25"/>
      <c r="F8" s="25"/>
      <c r="G8" s="25"/>
      <c r="H8" s="25"/>
      <c r="I8" s="25"/>
    </row>
    <row r="9" spans="1:9" ht="15" customHeight="1" x14ac:dyDescent="0.25">
      <c r="A9" s="25"/>
      <c r="B9" s="25"/>
      <c r="C9" s="25"/>
      <c r="D9" s="25"/>
      <c r="E9" s="25"/>
      <c r="F9" s="25"/>
      <c r="G9" s="25"/>
      <c r="H9" s="25"/>
      <c r="I9" s="25"/>
    </row>
    <row r="10" spans="1:9" ht="21" customHeight="1" x14ac:dyDescent="0.25">
      <c r="A10" s="25"/>
      <c r="B10" s="28" t="s">
        <v>6</v>
      </c>
      <c r="C10" s="28" t="s">
        <v>569</v>
      </c>
      <c r="D10" s="28" t="s">
        <v>158</v>
      </c>
      <c r="E10" s="28" t="s">
        <v>159</v>
      </c>
      <c r="F10" s="28" t="s">
        <v>160</v>
      </c>
      <c r="G10" s="28" t="s">
        <v>161</v>
      </c>
      <c r="H10" s="28" t="s">
        <v>162</v>
      </c>
      <c r="I10" s="28" t="s">
        <v>570</v>
      </c>
    </row>
    <row r="11" spans="1:9" ht="15" customHeight="1" x14ac:dyDescent="0.25">
      <c r="A11" s="25"/>
      <c r="B11" s="29">
        <v>1</v>
      </c>
      <c r="C11" s="30" t="s">
        <v>25</v>
      </c>
      <c r="D11" s="29">
        <f>'Text Input'!A6</f>
        <v>36</v>
      </c>
      <c r="E11" s="29">
        <f>'Text Input'!B6</f>
        <v>1</v>
      </c>
      <c r="F11" s="29">
        <f>'Text Input'!C6</f>
        <v>0</v>
      </c>
      <c r="G11" s="29">
        <f>'Text Input'!D6</f>
        <v>0</v>
      </c>
      <c r="H11" s="29">
        <f>'Text Input'!E6</f>
        <v>0</v>
      </c>
      <c r="I11" s="31">
        <f>'Text Input'!F6</f>
        <v>37</v>
      </c>
    </row>
    <row r="12" spans="1:9" ht="15" customHeight="1" x14ac:dyDescent="0.25">
      <c r="A12" s="25"/>
      <c r="B12" s="29">
        <f>B11+1</f>
        <v>2</v>
      </c>
      <c r="C12" s="30" t="s">
        <v>71</v>
      </c>
      <c r="D12" s="29">
        <f>'Grammar Check'!A6</f>
        <v>23</v>
      </c>
      <c r="E12" s="29">
        <f>'Grammar Check'!B6</f>
        <v>0</v>
      </c>
      <c r="F12" s="29">
        <f>'Grammar Check'!C6</f>
        <v>0</v>
      </c>
      <c r="G12" s="29">
        <f>'Grammar Check'!D6</f>
        <v>0</v>
      </c>
      <c r="H12" s="29">
        <f>'Grammar Check'!E6</f>
        <v>0</v>
      </c>
      <c r="I12" s="31">
        <f>'Grammar Check'!F6</f>
        <v>23</v>
      </c>
    </row>
    <row r="13" spans="1:9" ht="15" customHeight="1" x14ac:dyDescent="0.25">
      <c r="A13" s="25"/>
      <c r="B13" s="29">
        <f>B12+1</f>
        <v>3</v>
      </c>
      <c r="C13" s="30" t="s">
        <v>99</v>
      </c>
      <c r="D13" s="29">
        <f>'AI Rewrite'!A6</f>
        <v>23</v>
      </c>
      <c r="E13" s="29">
        <f>'AI Rewrite'!B6</f>
        <v>0</v>
      </c>
      <c r="F13" s="29">
        <f>'AI Rewrite'!C6</f>
        <v>0</v>
      </c>
      <c r="G13" s="29">
        <f>'AI Rewrite'!D6</f>
        <v>0</v>
      </c>
      <c r="H13" s="29">
        <f>'AI Rewrite'!E6</f>
        <v>0</v>
      </c>
      <c r="I13" s="31">
        <f>'AI Rewrite'!F6</f>
        <v>23</v>
      </c>
    </row>
    <row r="14" spans="1:9" ht="15" customHeight="1" x14ac:dyDescent="0.25">
      <c r="A14" s="25"/>
      <c r="B14" s="29">
        <f>B13+1</f>
        <v>4</v>
      </c>
      <c r="C14" s="30" t="s">
        <v>121</v>
      </c>
      <c r="D14" s="32">
        <f>'Vocab Lookup'!A6</f>
        <v>24</v>
      </c>
      <c r="E14" s="32">
        <f>'Vocab Lookup'!B6</f>
        <v>2</v>
      </c>
      <c r="F14" s="29">
        <f>'Vocab Lookup'!C6</f>
        <v>0</v>
      </c>
      <c r="G14" s="29">
        <f>'Vocab Lookup'!D6</f>
        <v>0</v>
      </c>
      <c r="H14" s="29">
        <f>'Vocab Lookup'!E6</f>
        <v>0</v>
      </c>
      <c r="I14" s="31">
        <f>'Vocab Lookup'!F6</f>
        <v>26</v>
      </c>
    </row>
    <row r="15" spans="1:9" ht="15" customHeight="1" x14ac:dyDescent="0.25">
      <c r="A15" s="25"/>
      <c r="B15" s="33"/>
      <c r="C15" s="34" t="s">
        <v>571</v>
      </c>
      <c r="D15" s="35">
        <f t="shared" ref="D15:I15" si="0">SUM(D11:D14)</f>
        <v>106</v>
      </c>
      <c r="E15" s="35">
        <f t="shared" si="0"/>
        <v>3</v>
      </c>
      <c r="F15" s="35">
        <f t="shared" si="0"/>
        <v>0</v>
      </c>
      <c r="G15" s="35">
        <f t="shared" si="0"/>
        <v>0</v>
      </c>
      <c r="H15" s="35">
        <f t="shared" si="0"/>
        <v>0</v>
      </c>
      <c r="I15" s="35">
        <f t="shared" si="0"/>
        <v>109</v>
      </c>
    </row>
    <row r="16" spans="1:9" ht="15" customHeight="1" x14ac:dyDescent="0.25">
      <c r="A16" s="25"/>
      <c r="B16" s="25"/>
      <c r="C16" s="25"/>
      <c r="D16" s="25"/>
      <c r="E16" s="25"/>
      <c r="F16" s="25"/>
      <c r="G16" s="25"/>
      <c r="H16" s="25"/>
      <c r="I16" s="25"/>
    </row>
    <row r="17" spans="1:9" ht="15" customHeight="1" x14ac:dyDescent="0.25">
      <c r="A17" s="25"/>
      <c r="B17" s="25"/>
      <c r="C17" s="25"/>
      <c r="D17" s="25"/>
      <c r="E17" s="25"/>
      <c r="F17" s="25"/>
      <c r="G17" s="25"/>
      <c r="H17" s="25"/>
      <c r="I17" s="25"/>
    </row>
    <row r="18" spans="1:9" ht="15" customHeight="1" x14ac:dyDescent="0.25">
      <c r="A18" s="25"/>
      <c r="B18" s="25"/>
      <c r="C18" s="25"/>
      <c r="D18" s="25"/>
      <c r="E18" s="25"/>
      <c r="F18" s="25"/>
      <c r="G18" s="25"/>
      <c r="H18" s="25"/>
      <c r="I18" s="25"/>
    </row>
    <row r="19" spans="1:9" ht="15" customHeight="1" x14ac:dyDescent="0.25">
      <c r="A19" s="25"/>
      <c r="B19" s="25"/>
      <c r="C19" s="36" t="s">
        <v>572</v>
      </c>
      <c r="D19" s="37">
        <f>ROUND((D15+E15)/I15*100,2)</f>
        <v>100</v>
      </c>
      <c r="E19" s="25" t="s">
        <v>573</v>
      </c>
      <c r="F19" s="25"/>
      <c r="G19" s="25"/>
      <c r="H19" s="25"/>
      <c r="I19" s="25"/>
    </row>
    <row r="20" spans="1:9" ht="15" customHeight="1" x14ac:dyDescent="0.25">
      <c r="A20" s="25"/>
      <c r="B20" s="25"/>
      <c r="C20" s="36" t="s">
        <v>574</v>
      </c>
      <c r="D20" s="37">
        <f>ROUND(D15/I15*100,2)</f>
        <v>97.25</v>
      </c>
      <c r="E20" s="25" t="s">
        <v>573</v>
      </c>
      <c r="F20" s="25"/>
      <c r="G20" s="25"/>
      <c r="H20" s="25"/>
      <c r="I20" s="25"/>
    </row>
    <row r="21" spans="1:9" ht="15" customHeight="1" x14ac:dyDescent="0.25"/>
    <row r="22" spans="1:9" ht="15" customHeight="1" x14ac:dyDescent="0.25"/>
    <row r="23" spans="1:9" ht="15" customHeight="1" x14ac:dyDescent="0.25"/>
    <row r="24" spans="1:9" ht="15" customHeight="1" x14ac:dyDescent="0.25"/>
    <row r="25" spans="1:9" ht="15" customHeight="1" x14ac:dyDescent="0.25"/>
    <row r="26" spans="1:9" ht="15" customHeight="1" x14ac:dyDescent="0.25"/>
    <row r="27" spans="1:9" ht="15" customHeight="1" x14ac:dyDescent="0.25"/>
  </sheetData>
  <mergeCells count="10">
    <mergeCell ref="C5:D5"/>
    <mergeCell ref="E5:F5"/>
    <mergeCell ref="G5:H5"/>
    <mergeCell ref="C6:H6"/>
    <mergeCell ref="A1:H2"/>
    <mergeCell ref="C3:D3"/>
    <mergeCell ref="E3:F3"/>
    <mergeCell ref="C4:D4"/>
    <mergeCell ref="E4:F4"/>
    <mergeCell ref="G4:H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Case List</vt:lpstr>
      <vt:lpstr>Test Design</vt:lpstr>
      <vt:lpstr>Text Input</vt:lpstr>
      <vt:lpstr>Grammar Check</vt:lpstr>
      <vt:lpstr>AI Rewrite</vt:lpstr>
      <vt:lpstr>Vocab Lookup</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Thủy Thanh</cp:lastModifiedBy>
  <cp:revision>0</cp:revision>
  <dcterms:created xsi:type="dcterms:W3CDTF">2026-10-21T03:59:20Z</dcterms:created>
  <dcterms:modified xsi:type="dcterms:W3CDTF">2026-10-25T01:23:40Z</dcterms:modified>
  <dc:language>en-US</dc:language>
</cp:coreProperties>
</file>