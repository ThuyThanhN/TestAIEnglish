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TestAIEnglish1\"/>
    </mc:Choice>
  </mc:AlternateContent>
  <xr:revisionPtr revIDLastSave="0" documentId="8_{9AE4E64E-B5F1-4142-A03A-510ADA41151F}" xr6:coauthVersionLast="47" xr6:coauthVersionMax="47" xr10:uidLastSave="{00000000-0000-0000-0000-000000000000}"/>
  <bookViews>
    <workbookView xWindow="-120" yWindow="-120" windowWidth="20730" windowHeight="11160" xr2:uid="{D6269B05-BAFC-4914-96D8-0DF3E62CB555}"/>
  </bookViews>
  <sheets>
    <sheet name="Test Checklist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4" i="1" l="1"/>
  <c r="E63" i="1"/>
  <c r="A5" i="1" s="1"/>
  <c r="E5" i="1" s="1"/>
  <c r="E62" i="1"/>
  <c r="D5" i="1"/>
  <c r="C5" i="1"/>
  <c r="B5" i="1"/>
</calcChain>
</file>

<file path=xl/sharedStrings.xml><?xml version="1.0" encoding="utf-8"?>
<sst xmlns="http://schemas.openxmlformats.org/spreadsheetml/2006/main" count="213" uniqueCount="120">
  <si>
    <t>TEST CHECKLIST</t>
  </si>
  <si>
    <t>Đạt</t>
  </si>
  <si>
    <t>Không đạt</t>
  </si>
  <si>
    <t>Chưa kiểm tra</t>
  </si>
  <si>
    <t>N/A</t>
  </si>
  <si>
    <t>Tổng số hạng mục</t>
  </si>
  <si>
    <t>STT</t>
  </si>
  <si>
    <t>Hạng mục kiểm tra</t>
  </si>
  <si>
    <t>Priority</t>
  </si>
  <si>
    <t>Mã TC liên quan</t>
  </si>
  <si>
    <t>Result</t>
  </si>
  <si>
    <t>Ghi chú</t>
  </si>
  <si>
    <t>A. Chuẩn bị kiểm thử</t>
  </si>
  <si>
    <t>Đã có dữ liệu kiểm thử (câu đúng/sai ngữ pháp, văn bản dài, emoji, Unicode, HTML)</t>
  </si>
  <si>
    <t>High</t>
  </si>
  <si>
    <t>Đã xác nhận giới hạn ký tự của từng chức năng với nhóm phát triển</t>
  </si>
  <si>
    <t>GRAMMAR_CHECK_11, TEXT_INPUT_07</t>
  </si>
  <si>
    <t>B. Smoke test</t>
  </si>
  <si>
    <t>Nhập được câu tiếng Anh vào ô nhập và bộ đếm từ cập nhật</t>
  </si>
  <si>
    <t>TEXT_INPUT_01</t>
  </si>
  <si>
    <t>Check Grammar phát hiện và gợi ý sửa lỗi cho câu sai</t>
  </si>
  <si>
    <t>GRAMMAR_CHECK_02</t>
  </si>
  <si>
    <t>Rewrite with AI trả về bản viết lại và phần tóm tắt</t>
  </si>
  <si>
    <t>AI_REWRITE_01</t>
  </si>
  <si>
    <t>Chọn một từ hiện popup tra cứu</t>
  </si>
  <si>
    <t>VOCAB_LOOKUP_01, VOCAB_TOOLTIP_01</t>
  </si>
  <si>
    <t>Clear All xóa sạch nội dung và đưa bộ đếm về 0</t>
  </si>
  <si>
    <t>TEXT_CLEAR_01</t>
  </si>
  <si>
    <t>C. Text Input</t>
  </si>
  <si>
    <t>Ô trống và văn bản nhiều khoảng trắng được xử lý đúng</t>
  </si>
  <si>
    <t>TEXT_INPUT_02, TEXT_INPUT_03</t>
  </si>
  <si>
    <t>Tiếng Việt có dấu, ký tự đặc biệt, xuống dòng bằng Enter hiển thị đúng</t>
  </si>
  <si>
    <t>TEXT_INPUT_04, TEXT_INPUT_05, TEXT_INPUT_06</t>
  </si>
  <si>
    <t>Giới hạn 2000 ký tự: chấp nhận 2000, chặn hoặc cắt 2001</t>
  </si>
  <si>
    <t>TEXT_INPUT_07, TEXT_INPUT_08</t>
  </si>
  <si>
    <t>Lỗi liên quan: BUG_01</t>
  </si>
  <si>
    <t>Dán văn bản hợp lệ, nhiều đoạn, emoji/Unicode</t>
  </si>
  <si>
    <t>TEXT_PASTE_01, TEXT_PASTE_02, TEXT_PASTE_03</t>
  </si>
  <si>
    <t>Dán khi ô nhập đã có nội dung và dán văn bản vượt giới hạn</t>
  </si>
  <si>
    <t>TEXT_PASTE_04, TEXT_PASTE_05</t>
  </si>
  <si>
    <t>Sample Text điền văn bản mẫu, bấm nhiều lần không nhân đôi nội dung</t>
  </si>
  <si>
    <t>TEXT_SAMPLE_01, TEXT_SAMPLE_02, TEXT_SAMPLE_03</t>
  </si>
  <si>
    <t>Clear All xóa nội dung kể cả khi ô trống hoặc sau Sample Text</t>
  </si>
  <si>
    <t>TEXT_CLEAR_01, TEXT_CLEAR_02, TEXT_CLEAR_03</t>
  </si>
  <si>
    <t>Import File: nhập tệp hợp lệ, nhiều đoạn, Unicode</t>
  </si>
  <si>
    <t>TEXT_IMPORT_01, TEXT_IMPORT_02, TEXT_IMPORT_03</t>
  </si>
  <si>
    <t>Import File: từ chối tệp sai định dạng, tệp rỗng, tệp vượt giới hạn ký tự</t>
  </si>
  <si>
    <t>TEXT_IMPORT_04, TEXT_IMPORT_05, TEXT_IMPORT_06</t>
  </si>
  <si>
    <t>Import File: tệp khi ô đã có nội dung, hủy chọn tệp, nhập hai tệp liên tiếp</t>
  </si>
  <si>
    <t>Medium</t>
  </si>
  <si>
    <t>TEXT_IMPORT_07, TEXT_IMPORT_08, TEXT_IMPORT_09</t>
  </si>
  <si>
    <t>Nội dung nhập từ tệp kiểm tra ngữ pháp được và chỉnh sửa được</t>
  </si>
  <si>
    <t>TEXT_IMPORT_10, TEXT_IMPORT_11</t>
  </si>
  <si>
    <t>D. Grammar Check</t>
  </si>
  <si>
    <t>Phát hiện đúng các loại lỗi: chia động từ, to be, mạo từ, số ít/số nhiều, giới từ</t>
  </si>
  <si>
    <t>GRAMMAR_CHECK_02, GRAMMAR_CHECK_03, GRAMMAR_CHECK_04, GRAMMAR_CHECK_05, GRAMMAR_CHECK_06, GRAMMAR_CHECK_07, GRAMMAR_CHECK_10</t>
  </si>
  <si>
    <t>Câu đúng không bị báo lỗi</t>
  </si>
  <si>
    <t>GRAMMAR_CHECK_01</t>
  </si>
  <si>
    <t>Ô trống hoặc chỉ có dấu cách hiện "Please enter text" và không gọi API</t>
  </si>
  <si>
    <t>GRAMMAR_CHECK_08, GRAMMAR_CHECK_09</t>
  </si>
  <si>
    <t>Giới hạn 1000 ký tự: chấp nhận 1000, báo lỗi khi 1001</t>
  </si>
  <si>
    <t>GRAMMAR_CHECK_11, GRAMMAR_CHECK_12</t>
  </si>
  <si>
    <t>Kết quả phân tích: văn bản gốc có đánh dấu, Corrected version, Detected Errors và thẻ lỗi</t>
  </si>
  <si>
    <t>GRAMMAR_RESULT_01, GRAMMAR_RESULT_02, GRAMMAR_RESULT_03, GRAMMAR_RESULT_04, GRAMMAR_RESULT_05</t>
  </si>
  <si>
    <t>Nút Export kết quả phân tích hoạt động</t>
  </si>
  <si>
    <t>GRAMMAR_RESULT_06</t>
  </si>
  <si>
    <t>E. AI Rewrite</t>
  </si>
  <si>
    <t>Viết lại câu ngắn, đoạn nhiều câu, nhiều dòng, câu đã đúng, câu có lỗi, tiếng Việt và ký tự đặc biệt</t>
  </si>
  <si>
    <t>AI_REWRITE_01, AI_REWRITE_02, AI_REWRITE_03, AI_REWRITE_04, AI_REWRITE_05, AI_REWRITE_06, AI_REWRITE_08</t>
  </si>
  <si>
    <t>Giữ nguyên số liệu và ngày tháng trong bản viết lại</t>
  </si>
  <si>
    <t>AI_REWRITE_07</t>
  </si>
  <si>
    <t>Văn bản chứa HTML không bị thực thi</t>
  </si>
  <si>
    <t>AI_REWRITE_09</t>
  </si>
  <si>
    <t>Bấm Rewrite nhiều lần chỉ gửi một yêu cầu</t>
  </si>
  <si>
    <t>AI_REWRITE_12</t>
  </si>
  <si>
    <t>Ô trống hoặc chỉ có dấu cách hiện "Please enter text" và không gọi API (AI Rewrite)</t>
  </si>
  <si>
    <t>AI_REWRITE_10, AI_REWRITE_11</t>
  </si>
  <si>
    <t>Hiển thị Improved Version, IMPROVEMENTS và SUMMARY</t>
  </si>
  <si>
    <t>AI_REWRITE_RESULT_01, AI_REWRITE_RESULT_02, AI_REWRITE_RESULT_03</t>
  </si>
  <si>
    <t>Trạng thái Rewriting... và nút Listen hoạt động</t>
  </si>
  <si>
    <t>AI_REWRITE_RESULT_04, AI_REWRITE_RESULT_05</t>
  </si>
  <si>
    <t>F. Vocab Lookup</t>
  </si>
  <si>
    <t>Tra từ hợp lệ, viết hoa, từ không có trong từ điển, bôi vùng trống, tra liên tiếp và API chậm</t>
  </si>
  <si>
    <t>VOCAB_LOOKUP_01, VOCAB_LOOKUP_02, VOCAB_LOOKUP_04, VOCAB_LOOKUP_06, VOCAB_LOOKUP_07, VOCAB_LOOKUP_08</t>
  </si>
  <si>
    <t>Từ có khoảng trắng hoặc ký tự đặc biệt được làm sạch</t>
  </si>
  <si>
    <t>VOCAB_LOOKUP_03, VOCAB_LOOKUP_05</t>
  </si>
  <si>
    <t>Lỗi liên quan: BUG_02</t>
  </si>
  <si>
    <t>Hiển thị đủ nghĩa, phiên âm và từ loại (kể cả từ nhiều nghĩa, API thiếu nghĩa hoặc từ loại)</t>
  </si>
  <si>
    <t>VOCAB_MEANING_01, VOCAB_MEANING_02, VOCAB_PHONETIC_01, VOCAB_POS_01, VOCAB_POS_02, VOCAB_MEANING_03, VOCAB_POS_03</t>
  </si>
  <si>
    <t>Lỗi liên quan: BUG_03</t>
  </si>
  <si>
    <t>Nghe phát âm UK/US</t>
  </si>
  <si>
    <t>VOCAB_PHONETIC_02</t>
  </si>
  <si>
    <t>Popup đóng được, không tràn màn hình, dùng được trên thiết bị cảm ứng</t>
  </si>
  <si>
    <t>VOCAB_TOOLTIP_02, VOCAB_TOOLTIP_03, VOCAB_TOOLTIP_04</t>
  </si>
  <si>
    <t>See usage with AI hiển thị cách dùng, trạng thái tải và xử lý lỗi /lookup</t>
  </si>
  <si>
    <t>VOCAB_USAGE_01, VOCAB_USAGE_02, VOCAB_USAGE_03, VOCAB_USAGE_04</t>
  </si>
  <si>
    <t>G. Xử lý lỗi API (mọi chức năng)</t>
  </si>
  <si>
    <t>API chậm: có thông báo lỗi và cho phép thử lại</t>
  </si>
  <si>
    <t>GRAMMAR_API_01, AI_REWRITE_API_01, VOCAB_API_02</t>
  </si>
  <si>
    <t>Mất mạng: có thông báo lỗi và giữ nguyên nội dung đã nhập</t>
  </si>
  <si>
    <t>GRAMMAR_API_02, AI_REWRITE_API_02</t>
  </si>
  <si>
    <t>HTTP 500 và 429: có thông báo lỗi, ứng dụng không treo</t>
  </si>
  <si>
    <t>GRAMMAR_API_03, AI_REWRITE_API_03, AI_REWRITE_API_04, VOCAB_API_01</t>
  </si>
  <si>
    <t>Phản hồi rỗng hoặc sai cấu trúc: không hiển thị kết quả sai</t>
  </si>
  <si>
    <t>GRAMMAR_API_04, AI_REWRITE_API_05, AI_REWRITE_API_06</t>
  </si>
  <si>
    <t>AI-service lỗi: hệ thống dùng dữ liệu dự phòng (mock data)</t>
  </si>
  <si>
    <t>GRAMMAR_API_05</t>
  </si>
  <si>
    <t>H. Giao diện và tương thích</t>
  </si>
  <si>
    <t>Các thành phần Import File, nút chức năng và bộ đếm từ hiển thị đúng</t>
  </si>
  <si>
    <t>TEXT_UI_01, TEXT_UI_05, TEXT_UI_06</t>
  </si>
  <si>
    <t>Bố cục không vỡ ở chiều rộng 768px</t>
  </si>
  <si>
    <t>TEXT_UI_03</t>
  </si>
  <si>
    <t>Hiển thị đúng ở chế độ điện thoại và khu vực Import File trên màn hình nhỏ</t>
  </si>
  <si>
    <t>TEXT_UI_02, TEXT_UI_04</t>
  </si>
  <si>
    <t>Văn bản dài trong ô nhập không làm vỡ bố cục</t>
  </si>
  <si>
    <t>TEXT_UI_07</t>
  </si>
  <si>
    <t>I. Trước khi phát hành</t>
  </si>
  <si>
    <t>Tất cả test case ưu tiên High đạt Passed hoặc có lỗi được chấp nhận hoãn</t>
  </si>
  <si>
    <t>Không còn lỗi mở mức Critical hoặc Major</t>
  </si>
  <si>
    <t>Tỷ lệ Passed từ 95% trở lên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</si>
</sst>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2060"/>
      <name val="Tahoma"/>
      <family val="2"/>
    </font>
    <font>
      <i/>
      <sz val="1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11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DBCB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QA_Documents_v3.xlsx" TargetMode="External"/><Relationship Id="rId1" Type="http://schemas.openxmlformats.org/officeDocument/2006/relationships/externalLinkPath" Target="file:///C:\Users\DELL\Downloads\QA_Document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 Summary Report"/>
      <sheetName val="Test Checklist"/>
      <sheetName val="Bug Report"/>
    </sheetNames>
    <sheetDataSet>
      <sheetData sheetId="0">
        <row r="23">
          <cell r="D23" t="str">
            <v>Đạt</v>
          </cell>
        </row>
        <row r="25">
          <cell r="D25" t="str">
            <v>Chưa đạt</v>
          </cell>
        </row>
        <row r="26">
          <cell r="D26" t="str">
            <v>Chưa đạt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EE16-2CA3-4ED5-B1AF-414D66ECB129}">
  <dimension ref="A1:F64"/>
  <sheetViews>
    <sheetView tabSelected="1" workbookViewId="0">
      <selection activeCell="B6" sqref="B6"/>
    </sheetView>
  </sheetViews>
  <sheetFormatPr defaultColWidth="8.7109375" defaultRowHeight="15" x14ac:dyDescent="0.25"/>
  <cols>
    <col min="1" max="1" width="8" customWidth="1"/>
    <col min="2" max="2" width="70" customWidth="1"/>
    <col min="3" max="3" width="12" customWidth="1"/>
    <col min="4" max="4" width="38" customWidth="1"/>
    <col min="5" max="5" width="16" customWidth="1"/>
    <col min="6" max="6" width="30" customWidth="1"/>
  </cols>
  <sheetData>
    <row r="1" spans="1:6" ht="27.75" customHeight="1" x14ac:dyDescent="0.25">
      <c r="A1" s="1" t="s">
        <v>0</v>
      </c>
      <c r="B1" s="1"/>
      <c r="C1" s="1"/>
      <c r="D1" s="1"/>
      <c r="E1" s="1"/>
      <c r="F1" s="1"/>
    </row>
    <row r="2" spans="1:6" ht="15" customHeight="1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ht="28.5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6" x14ac:dyDescent="0.25">
      <c r="A5" s="4">
        <f>COUNTIF($E$7:$E$64,"Đạt")</f>
        <v>44</v>
      </c>
      <c r="B5" s="4">
        <f>COUNTIF($E$7:$E$64,"Không đạt")</f>
        <v>5</v>
      </c>
      <c r="C5" s="4">
        <f>COUNTIF($E$7:$E$64,"Chưa kiểm tra")</f>
        <v>0</v>
      </c>
      <c r="D5" s="4">
        <f>COUNTIF($E$7:$E$64,"N/A")</f>
        <v>0</v>
      </c>
      <c r="E5" s="4">
        <f>SUM(A5:D5)</f>
        <v>49</v>
      </c>
    </row>
    <row r="6" spans="1:6" ht="24" customHeight="1" x14ac:dyDescent="0.2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spans="1:6" ht="15" customHeight="1" x14ac:dyDescent="0.25">
      <c r="A7" s="6" t="s">
        <v>12</v>
      </c>
      <c r="B7" s="6"/>
      <c r="C7" s="6"/>
      <c r="D7" s="6"/>
      <c r="E7" s="6"/>
      <c r="F7" s="6"/>
    </row>
    <row r="8" spans="1:6" ht="33" customHeight="1" x14ac:dyDescent="0.25">
      <c r="A8" s="4">
        <v>1</v>
      </c>
      <c r="B8" s="7" t="s">
        <v>13</v>
      </c>
      <c r="C8" s="4" t="s">
        <v>14</v>
      </c>
      <c r="D8" s="7"/>
      <c r="E8" s="4" t="s">
        <v>1</v>
      </c>
      <c r="F8" s="7"/>
    </row>
    <row r="9" spans="1:6" ht="33" customHeight="1" x14ac:dyDescent="0.25">
      <c r="A9" s="4">
        <v>2</v>
      </c>
      <c r="B9" s="7" t="s">
        <v>15</v>
      </c>
      <c r="C9" s="4" t="s">
        <v>14</v>
      </c>
      <c r="D9" s="7" t="s">
        <v>16</v>
      </c>
      <c r="E9" s="4" t="s">
        <v>1</v>
      </c>
      <c r="F9" s="7"/>
    </row>
    <row r="10" spans="1:6" ht="15" customHeight="1" x14ac:dyDescent="0.25">
      <c r="A10" s="6" t="s">
        <v>17</v>
      </c>
      <c r="B10" s="6"/>
      <c r="C10" s="6"/>
      <c r="D10" s="6"/>
      <c r="E10" s="6"/>
      <c r="F10" s="6"/>
    </row>
    <row r="11" spans="1:6" ht="33" customHeight="1" x14ac:dyDescent="0.25">
      <c r="A11" s="4">
        <v>3</v>
      </c>
      <c r="B11" s="7" t="s">
        <v>18</v>
      </c>
      <c r="C11" s="4" t="s">
        <v>14</v>
      </c>
      <c r="D11" s="7" t="s">
        <v>19</v>
      </c>
      <c r="E11" s="4" t="s">
        <v>1</v>
      </c>
      <c r="F11" s="7"/>
    </row>
    <row r="12" spans="1:6" ht="33" customHeight="1" x14ac:dyDescent="0.25">
      <c r="A12" s="4">
        <v>4</v>
      </c>
      <c r="B12" s="7" t="s">
        <v>20</v>
      </c>
      <c r="C12" s="4" t="s">
        <v>14</v>
      </c>
      <c r="D12" s="7" t="s">
        <v>21</v>
      </c>
      <c r="E12" s="4" t="s">
        <v>1</v>
      </c>
      <c r="F12" s="7"/>
    </row>
    <row r="13" spans="1:6" ht="33" customHeight="1" x14ac:dyDescent="0.25">
      <c r="A13" s="4">
        <v>5</v>
      </c>
      <c r="B13" s="7" t="s">
        <v>22</v>
      </c>
      <c r="C13" s="4" t="s">
        <v>14</v>
      </c>
      <c r="D13" s="7" t="s">
        <v>23</v>
      </c>
      <c r="E13" s="4" t="s">
        <v>1</v>
      </c>
      <c r="F13" s="7"/>
    </row>
    <row r="14" spans="1:6" ht="33" customHeight="1" x14ac:dyDescent="0.25">
      <c r="A14" s="4">
        <v>6</v>
      </c>
      <c r="B14" s="7" t="s">
        <v>24</v>
      </c>
      <c r="C14" s="4" t="s">
        <v>14</v>
      </c>
      <c r="D14" s="7" t="s">
        <v>25</v>
      </c>
      <c r="E14" s="4" t="s">
        <v>1</v>
      </c>
      <c r="F14" s="7"/>
    </row>
    <row r="15" spans="1:6" ht="33" customHeight="1" x14ac:dyDescent="0.25">
      <c r="A15" s="4">
        <v>7</v>
      </c>
      <c r="B15" s="7" t="s">
        <v>26</v>
      </c>
      <c r="C15" s="4" t="s">
        <v>14</v>
      </c>
      <c r="D15" s="7" t="s">
        <v>27</v>
      </c>
      <c r="E15" s="4" t="s">
        <v>1</v>
      </c>
      <c r="F15" s="7"/>
    </row>
    <row r="16" spans="1:6" ht="15" customHeight="1" x14ac:dyDescent="0.25">
      <c r="A16" s="6" t="s">
        <v>28</v>
      </c>
      <c r="B16" s="6"/>
      <c r="C16" s="6"/>
      <c r="D16" s="6"/>
      <c r="E16" s="6"/>
      <c r="F16" s="6"/>
    </row>
    <row r="17" spans="1:6" ht="33" customHeight="1" x14ac:dyDescent="0.25">
      <c r="A17" s="4">
        <v>8</v>
      </c>
      <c r="B17" s="7" t="s">
        <v>29</v>
      </c>
      <c r="C17" s="4" t="s">
        <v>14</v>
      </c>
      <c r="D17" s="7" t="s">
        <v>30</v>
      </c>
      <c r="E17" s="4" t="s">
        <v>1</v>
      </c>
      <c r="F17" s="7"/>
    </row>
    <row r="18" spans="1:6" ht="33" customHeight="1" x14ac:dyDescent="0.25">
      <c r="A18" s="4">
        <v>9</v>
      </c>
      <c r="B18" s="7" t="s">
        <v>31</v>
      </c>
      <c r="C18" s="4" t="s">
        <v>14</v>
      </c>
      <c r="D18" s="7" t="s">
        <v>32</v>
      </c>
      <c r="E18" s="4" t="s">
        <v>1</v>
      </c>
      <c r="F18" s="7"/>
    </row>
    <row r="19" spans="1:6" ht="33" customHeight="1" x14ac:dyDescent="0.25">
      <c r="A19" s="4">
        <v>10</v>
      </c>
      <c r="B19" s="7" t="s">
        <v>33</v>
      </c>
      <c r="C19" s="4" t="s">
        <v>14</v>
      </c>
      <c r="D19" s="7" t="s">
        <v>34</v>
      </c>
      <c r="E19" s="4" t="s">
        <v>2</v>
      </c>
      <c r="F19" s="7" t="s">
        <v>35</v>
      </c>
    </row>
    <row r="20" spans="1:6" ht="33" customHeight="1" x14ac:dyDescent="0.25">
      <c r="A20" s="4">
        <v>11</v>
      </c>
      <c r="B20" s="7" t="s">
        <v>36</v>
      </c>
      <c r="C20" s="4" t="s">
        <v>14</v>
      </c>
      <c r="D20" s="7" t="s">
        <v>37</v>
      </c>
      <c r="E20" s="4" t="s">
        <v>1</v>
      </c>
      <c r="F20" s="7"/>
    </row>
    <row r="21" spans="1:6" ht="33" customHeight="1" x14ac:dyDescent="0.25">
      <c r="A21" s="4">
        <v>12</v>
      </c>
      <c r="B21" s="7" t="s">
        <v>38</v>
      </c>
      <c r="C21" s="4" t="s">
        <v>14</v>
      </c>
      <c r="D21" s="7" t="s">
        <v>39</v>
      </c>
      <c r="E21" s="4" t="s">
        <v>1</v>
      </c>
      <c r="F21" s="7"/>
    </row>
    <row r="22" spans="1:6" ht="33" customHeight="1" x14ac:dyDescent="0.25">
      <c r="A22" s="4">
        <v>13</v>
      </c>
      <c r="B22" s="7" t="s">
        <v>40</v>
      </c>
      <c r="C22" s="4" t="s">
        <v>14</v>
      </c>
      <c r="D22" s="7" t="s">
        <v>41</v>
      </c>
      <c r="E22" s="4" t="s">
        <v>1</v>
      </c>
      <c r="F22" s="7"/>
    </row>
    <row r="23" spans="1:6" ht="33" customHeight="1" x14ac:dyDescent="0.25">
      <c r="A23" s="4">
        <v>14</v>
      </c>
      <c r="B23" s="7" t="s">
        <v>42</v>
      </c>
      <c r="C23" s="4" t="s">
        <v>14</v>
      </c>
      <c r="D23" s="7" t="s">
        <v>43</v>
      </c>
      <c r="E23" s="4" t="s">
        <v>1</v>
      </c>
      <c r="F23" s="7"/>
    </row>
    <row r="24" spans="1:6" ht="33" customHeight="1" x14ac:dyDescent="0.25">
      <c r="A24" s="4">
        <v>15</v>
      </c>
      <c r="B24" s="7" t="s">
        <v>44</v>
      </c>
      <c r="C24" s="4" t="s">
        <v>14</v>
      </c>
      <c r="D24" s="7" t="s">
        <v>45</v>
      </c>
      <c r="E24" s="4" t="s">
        <v>1</v>
      </c>
      <c r="F24" s="7"/>
    </row>
    <row r="25" spans="1:6" ht="33" customHeight="1" x14ac:dyDescent="0.25">
      <c r="A25" s="4">
        <v>16</v>
      </c>
      <c r="B25" s="7" t="s">
        <v>46</v>
      </c>
      <c r="C25" s="4" t="s">
        <v>14</v>
      </c>
      <c r="D25" s="7" t="s">
        <v>47</v>
      </c>
      <c r="E25" s="4" t="s">
        <v>1</v>
      </c>
      <c r="F25" s="7"/>
    </row>
    <row r="26" spans="1:6" ht="33" customHeight="1" x14ac:dyDescent="0.25">
      <c r="A26" s="4">
        <v>17</v>
      </c>
      <c r="B26" s="7" t="s">
        <v>48</v>
      </c>
      <c r="C26" s="4" t="s">
        <v>49</v>
      </c>
      <c r="D26" s="7" t="s">
        <v>50</v>
      </c>
      <c r="E26" s="4" t="s">
        <v>1</v>
      </c>
      <c r="F26" s="7"/>
    </row>
    <row r="27" spans="1:6" ht="33" customHeight="1" x14ac:dyDescent="0.25">
      <c r="A27" s="4">
        <v>18</v>
      </c>
      <c r="B27" s="7" t="s">
        <v>51</v>
      </c>
      <c r="C27" s="4" t="s">
        <v>14</v>
      </c>
      <c r="D27" s="7" t="s">
        <v>52</v>
      </c>
      <c r="E27" s="4" t="s">
        <v>1</v>
      </c>
      <c r="F27" s="7"/>
    </row>
    <row r="28" spans="1:6" ht="15" customHeight="1" x14ac:dyDescent="0.25">
      <c r="A28" s="6" t="s">
        <v>53</v>
      </c>
      <c r="B28" s="6"/>
      <c r="C28" s="6"/>
      <c r="D28" s="6"/>
      <c r="E28" s="6"/>
      <c r="F28" s="6"/>
    </row>
    <row r="29" spans="1:6" ht="111" customHeight="1" x14ac:dyDescent="0.25">
      <c r="A29" s="4">
        <v>19</v>
      </c>
      <c r="B29" s="7" t="s">
        <v>54</v>
      </c>
      <c r="C29" s="4" t="s">
        <v>14</v>
      </c>
      <c r="D29" s="7" t="s">
        <v>55</v>
      </c>
      <c r="E29" s="4" t="s">
        <v>1</v>
      </c>
      <c r="F29" s="7"/>
    </row>
    <row r="30" spans="1:6" ht="33" customHeight="1" x14ac:dyDescent="0.25">
      <c r="A30" s="4">
        <v>20</v>
      </c>
      <c r="B30" s="7" t="s">
        <v>56</v>
      </c>
      <c r="C30" s="4" t="s">
        <v>14</v>
      </c>
      <c r="D30" s="7" t="s">
        <v>57</v>
      </c>
      <c r="E30" s="4" t="s">
        <v>1</v>
      </c>
      <c r="F30" s="7"/>
    </row>
    <row r="31" spans="1:6" ht="33" customHeight="1" x14ac:dyDescent="0.25">
      <c r="A31" s="4">
        <v>21</v>
      </c>
      <c r="B31" s="7" t="s">
        <v>58</v>
      </c>
      <c r="C31" s="4" t="s">
        <v>14</v>
      </c>
      <c r="D31" s="7" t="s">
        <v>59</v>
      </c>
      <c r="E31" s="4" t="s">
        <v>1</v>
      </c>
      <c r="F31" s="7"/>
    </row>
    <row r="32" spans="1:6" ht="33" customHeight="1" x14ac:dyDescent="0.25">
      <c r="A32" s="4">
        <v>22</v>
      </c>
      <c r="B32" s="7" t="s">
        <v>60</v>
      </c>
      <c r="C32" s="4" t="s">
        <v>14</v>
      </c>
      <c r="D32" s="7" t="s">
        <v>61</v>
      </c>
      <c r="E32" s="4" t="s">
        <v>1</v>
      </c>
      <c r="F32" s="7"/>
    </row>
    <row r="33" spans="1:6" ht="48" customHeight="1" x14ac:dyDescent="0.25">
      <c r="A33" s="4">
        <v>23</v>
      </c>
      <c r="B33" s="7" t="s">
        <v>62</v>
      </c>
      <c r="C33" s="4" t="s">
        <v>14</v>
      </c>
      <c r="D33" s="7" t="s">
        <v>63</v>
      </c>
      <c r="E33" s="4" t="s">
        <v>1</v>
      </c>
      <c r="F33" s="7"/>
    </row>
    <row r="34" spans="1:6" ht="33" customHeight="1" x14ac:dyDescent="0.25">
      <c r="A34" s="4">
        <v>24</v>
      </c>
      <c r="B34" s="7" t="s">
        <v>64</v>
      </c>
      <c r="C34" s="4" t="s">
        <v>49</v>
      </c>
      <c r="D34" s="7" t="s">
        <v>65</v>
      </c>
      <c r="E34" s="4" t="s">
        <v>1</v>
      </c>
      <c r="F34" s="7"/>
    </row>
    <row r="35" spans="1:6" ht="15" customHeight="1" x14ac:dyDescent="0.25">
      <c r="A35" s="6" t="s">
        <v>66</v>
      </c>
      <c r="B35" s="6"/>
      <c r="C35" s="6"/>
      <c r="D35" s="6"/>
      <c r="E35" s="6"/>
      <c r="F35" s="6"/>
    </row>
    <row r="36" spans="1:6" ht="69" customHeight="1" x14ac:dyDescent="0.25">
      <c r="A36" s="4">
        <v>25</v>
      </c>
      <c r="B36" s="7" t="s">
        <v>67</v>
      </c>
      <c r="C36" s="4" t="s">
        <v>14</v>
      </c>
      <c r="D36" s="7" t="s">
        <v>68</v>
      </c>
      <c r="E36" s="4" t="s">
        <v>1</v>
      </c>
      <c r="F36" s="7"/>
    </row>
    <row r="37" spans="1:6" ht="33" customHeight="1" x14ac:dyDescent="0.25">
      <c r="A37" s="4">
        <v>26</v>
      </c>
      <c r="B37" s="7" t="s">
        <v>69</v>
      </c>
      <c r="C37" s="4" t="s">
        <v>14</v>
      </c>
      <c r="D37" s="7" t="s">
        <v>70</v>
      </c>
      <c r="E37" s="4" t="s">
        <v>1</v>
      </c>
      <c r="F37" s="7"/>
    </row>
    <row r="38" spans="1:6" ht="33" customHeight="1" x14ac:dyDescent="0.25">
      <c r="A38" s="4">
        <v>27</v>
      </c>
      <c r="B38" s="7" t="s">
        <v>71</v>
      </c>
      <c r="C38" s="4" t="s">
        <v>14</v>
      </c>
      <c r="D38" s="7" t="s">
        <v>72</v>
      </c>
      <c r="E38" s="4" t="s">
        <v>1</v>
      </c>
      <c r="F38" s="7"/>
    </row>
    <row r="39" spans="1:6" ht="33" customHeight="1" x14ac:dyDescent="0.25">
      <c r="A39" s="4">
        <v>28</v>
      </c>
      <c r="B39" s="7" t="s">
        <v>73</v>
      </c>
      <c r="C39" s="4" t="s">
        <v>14</v>
      </c>
      <c r="D39" s="7" t="s">
        <v>74</v>
      </c>
      <c r="E39" s="4" t="s">
        <v>1</v>
      </c>
      <c r="F39" s="7"/>
    </row>
    <row r="40" spans="1:6" ht="33" customHeight="1" x14ac:dyDescent="0.25">
      <c r="A40" s="4">
        <v>29</v>
      </c>
      <c r="B40" s="7" t="s">
        <v>75</v>
      </c>
      <c r="C40" s="4" t="s">
        <v>14</v>
      </c>
      <c r="D40" s="7" t="s">
        <v>76</v>
      </c>
      <c r="E40" s="4" t="s">
        <v>1</v>
      </c>
      <c r="F40" s="7"/>
    </row>
    <row r="41" spans="1:6" ht="33" customHeight="1" x14ac:dyDescent="0.25">
      <c r="A41" s="4">
        <v>30</v>
      </c>
      <c r="B41" s="7" t="s">
        <v>77</v>
      </c>
      <c r="C41" s="4" t="s">
        <v>14</v>
      </c>
      <c r="D41" s="7" t="s">
        <v>78</v>
      </c>
      <c r="E41" s="4" t="s">
        <v>1</v>
      </c>
      <c r="F41" s="7"/>
    </row>
    <row r="42" spans="1:6" ht="33" customHeight="1" x14ac:dyDescent="0.25">
      <c r="A42" s="4">
        <v>31</v>
      </c>
      <c r="B42" s="7" t="s">
        <v>79</v>
      </c>
      <c r="C42" s="4" t="s">
        <v>49</v>
      </c>
      <c r="D42" s="7" t="s">
        <v>80</v>
      </c>
      <c r="E42" s="4" t="s">
        <v>1</v>
      </c>
      <c r="F42" s="7"/>
    </row>
    <row r="43" spans="1:6" ht="15" customHeight="1" x14ac:dyDescent="0.25">
      <c r="A43" s="6" t="s">
        <v>81</v>
      </c>
      <c r="B43" s="6"/>
      <c r="C43" s="6"/>
      <c r="D43" s="6"/>
      <c r="E43" s="6"/>
      <c r="F43" s="6"/>
    </row>
    <row r="44" spans="1:6" ht="93.75" customHeight="1" x14ac:dyDescent="0.25">
      <c r="A44" s="4">
        <v>32</v>
      </c>
      <c r="B44" s="7" t="s">
        <v>82</v>
      </c>
      <c r="C44" s="4" t="s">
        <v>14</v>
      </c>
      <c r="D44" s="7" t="s">
        <v>83</v>
      </c>
      <c r="E44" s="4" t="s">
        <v>1</v>
      </c>
      <c r="F44" s="7"/>
    </row>
    <row r="45" spans="1:6" ht="43.5" customHeight="1" x14ac:dyDescent="0.25">
      <c r="A45" s="4">
        <v>33</v>
      </c>
      <c r="B45" s="7" t="s">
        <v>84</v>
      </c>
      <c r="C45" s="4" t="s">
        <v>49</v>
      </c>
      <c r="D45" s="7" t="s">
        <v>85</v>
      </c>
      <c r="E45" s="4" t="s">
        <v>2</v>
      </c>
      <c r="F45" s="7" t="s">
        <v>86</v>
      </c>
    </row>
    <row r="46" spans="1:6" ht="77.25" customHeight="1" x14ac:dyDescent="0.25">
      <c r="A46" s="4">
        <v>34</v>
      </c>
      <c r="B46" s="7" t="s">
        <v>87</v>
      </c>
      <c r="C46" s="4" t="s">
        <v>14</v>
      </c>
      <c r="D46" s="7" t="s">
        <v>88</v>
      </c>
      <c r="E46" s="4" t="s">
        <v>2</v>
      </c>
      <c r="F46" s="7" t="s">
        <v>89</v>
      </c>
    </row>
    <row r="47" spans="1:6" ht="33" customHeight="1" x14ac:dyDescent="0.25">
      <c r="A47" s="4">
        <v>35</v>
      </c>
      <c r="B47" s="7" t="s">
        <v>90</v>
      </c>
      <c r="C47" s="4" t="s">
        <v>49</v>
      </c>
      <c r="D47" s="7" t="s">
        <v>91</v>
      </c>
      <c r="E47" s="4" t="s">
        <v>1</v>
      </c>
      <c r="F47" s="7"/>
    </row>
    <row r="48" spans="1:6" ht="47.25" customHeight="1" x14ac:dyDescent="0.25">
      <c r="A48" s="4">
        <v>36</v>
      </c>
      <c r="B48" s="7" t="s">
        <v>92</v>
      </c>
      <c r="C48" s="4" t="s">
        <v>49</v>
      </c>
      <c r="D48" s="7" t="s">
        <v>93</v>
      </c>
      <c r="E48" s="4" t="s">
        <v>1</v>
      </c>
      <c r="F48" s="7"/>
    </row>
    <row r="49" spans="1:6" ht="33" customHeight="1" x14ac:dyDescent="0.25">
      <c r="A49" s="4">
        <v>37</v>
      </c>
      <c r="B49" s="7" t="s">
        <v>94</v>
      </c>
      <c r="C49" s="4" t="s">
        <v>14</v>
      </c>
      <c r="D49" s="7" t="s">
        <v>95</v>
      </c>
      <c r="E49" s="4" t="s">
        <v>1</v>
      </c>
      <c r="F49" s="7"/>
    </row>
    <row r="50" spans="1:6" ht="15" customHeight="1" x14ac:dyDescent="0.25">
      <c r="A50" s="6" t="s">
        <v>96</v>
      </c>
      <c r="B50" s="6"/>
      <c r="C50" s="6"/>
      <c r="D50" s="6"/>
      <c r="E50" s="6"/>
      <c r="F50" s="6"/>
    </row>
    <row r="51" spans="1:6" ht="33" customHeight="1" x14ac:dyDescent="0.25">
      <c r="A51" s="4">
        <v>38</v>
      </c>
      <c r="B51" s="7" t="s">
        <v>97</v>
      </c>
      <c r="C51" s="4" t="s">
        <v>14</v>
      </c>
      <c r="D51" s="7" t="s">
        <v>98</v>
      </c>
      <c r="E51" s="4" t="s">
        <v>1</v>
      </c>
      <c r="F51" s="7"/>
    </row>
    <row r="52" spans="1:6" ht="33" customHeight="1" x14ac:dyDescent="0.25">
      <c r="A52" s="4">
        <v>39</v>
      </c>
      <c r="B52" s="7" t="s">
        <v>99</v>
      </c>
      <c r="C52" s="4" t="s">
        <v>14</v>
      </c>
      <c r="D52" s="7" t="s">
        <v>100</v>
      </c>
      <c r="E52" s="4" t="s">
        <v>1</v>
      </c>
      <c r="F52" s="7"/>
    </row>
    <row r="53" spans="1:6" ht="48" customHeight="1" x14ac:dyDescent="0.25">
      <c r="A53" s="4">
        <v>40</v>
      </c>
      <c r="B53" s="7" t="s">
        <v>101</v>
      </c>
      <c r="C53" s="4" t="s">
        <v>14</v>
      </c>
      <c r="D53" s="7" t="s">
        <v>102</v>
      </c>
      <c r="E53" s="4" t="s">
        <v>1</v>
      </c>
      <c r="F53" s="7"/>
    </row>
    <row r="54" spans="1:6" ht="48" customHeight="1" x14ac:dyDescent="0.25">
      <c r="A54" s="4">
        <v>41</v>
      </c>
      <c r="B54" s="7" t="s">
        <v>103</v>
      </c>
      <c r="C54" s="4" t="s">
        <v>14</v>
      </c>
      <c r="D54" s="7" t="s">
        <v>104</v>
      </c>
      <c r="E54" s="4" t="s">
        <v>1</v>
      </c>
      <c r="F54" s="7"/>
    </row>
    <row r="55" spans="1:6" ht="33" customHeight="1" x14ac:dyDescent="0.25">
      <c r="A55" s="4">
        <v>42</v>
      </c>
      <c r="B55" s="7" t="s">
        <v>105</v>
      </c>
      <c r="C55" s="4" t="s">
        <v>49</v>
      </c>
      <c r="D55" s="7" t="s">
        <v>106</v>
      </c>
      <c r="E55" s="4" t="s">
        <v>1</v>
      </c>
      <c r="F55" s="7"/>
    </row>
    <row r="56" spans="1:6" ht="15" customHeight="1" x14ac:dyDescent="0.25">
      <c r="A56" s="6" t="s">
        <v>107</v>
      </c>
      <c r="B56" s="6"/>
      <c r="C56" s="6"/>
      <c r="D56" s="6"/>
      <c r="E56" s="6"/>
      <c r="F56" s="6"/>
    </row>
    <row r="57" spans="1:6" ht="33" customHeight="1" x14ac:dyDescent="0.25">
      <c r="A57" s="4">
        <v>43</v>
      </c>
      <c r="B57" s="7" t="s">
        <v>108</v>
      </c>
      <c r="C57" s="4" t="s">
        <v>49</v>
      </c>
      <c r="D57" s="7" t="s">
        <v>109</v>
      </c>
      <c r="E57" s="4" t="s">
        <v>1</v>
      </c>
      <c r="F57" s="7"/>
    </row>
    <row r="58" spans="1:6" ht="33" customHeight="1" x14ac:dyDescent="0.25">
      <c r="A58" s="4">
        <v>44</v>
      </c>
      <c r="B58" s="7" t="s">
        <v>110</v>
      </c>
      <c r="C58" s="4" t="s">
        <v>49</v>
      </c>
      <c r="D58" s="7" t="s">
        <v>111</v>
      </c>
      <c r="E58" s="4" t="s">
        <v>1</v>
      </c>
      <c r="F58" s="7"/>
    </row>
    <row r="59" spans="1:6" ht="33" customHeight="1" x14ac:dyDescent="0.25">
      <c r="A59" s="4">
        <v>45</v>
      </c>
      <c r="B59" s="7" t="s">
        <v>112</v>
      </c>
      <c r="C59" s="4" t="s">
        <v>49</v>
      </c>
      <c r="D59" s="7" t="s">
        <v>113</v>
      </c>
      <c r="E59" s="4" t="s">
        <v>1</v>
      </c>
      <c r="F59" s="7"/>
    </row>
    <row r="60" spans="1:6" ht="33" customHeight="1" x14ac:dyDescent="0.25">
      <c r="A60" s="4">
        <v>46</v>
      </c>
      <c r="B60" s="7" t="s">
        <v>114</v>
      </c>
      <c r="C60" s="4" t="s">
        <v>49</v>
      </c>
      <c r="D60" s="7" t="s">
        <v>115</v>
      </c>
      <c r="E60" s="4" t="s">
        <v>1</v>
      </c>
      <c r="F60" s="7"/>
    </row>
    <row r="61" spans="1:6" ht="15" customHeight="1" x14ac:dyDescent="0.25">
      <c r="A61" s="6" t="s">
        <v>116</v>
      </c>
      <c r="B61" s="6"/>
      <c r="C61" s="6"/>
      <c r="D61" s="6"/>
      <c r="E61" s="6"/>
      <c r="F61" s="6"/>
    </row>
    <row r="62" spans="1:6" ht="33" customHeight="1" x14ac:dyDescent="0.25">
      <c r="A62" s="4">
        <v>47</v>
      </c>
      <c r="B62" s="7" t="s">
        <v>117</v>
      </c>
      <c r="C62" s="4" t="s">
        <v>14</v>
      </c>
      <c r="D62" s="7"/>
      <c r="E62" s="4" t="str">
        <f>IF('[1]Test Summary Report'!D25="Đạt","Đạt","Không đạt")</f>
        <v>Không đạt</v>
      </c>
      <c r="F62" s="7"/>
    </row>
    <row r="63" spans="1:6" ht="33" customHeight="1" x14ac:dyDescent="0.25">
      <c r="A63" s="4">
        <v>48</v>
      </c>
      <c r="B63" s="7" t="s">
        <v>118</v>
      </c>
      <c r="C63" s="4" t="s">
        <v>14</v>
      </c>
      <c r="D63" s="7"/>
      <c r="E63" s="4" t="str">
        <f>IF('[1]Test Summary Report'!D26="Đạt","Đạt","Không đạt")</f>
        <v>Không đạt</v>
      </c>
      <c r="F63" s="7"/>
    </row>
    <row r="64" spans="1:6" ht="33" customHeight="1" x14ac:dyDescent="0.25">
      <c r="A64" s="4">
        <v>49</v>
      </c>
      <c r="B64" s="7" t="s">
        <v>119</v>
      </c>
      <c r="C64" s="4" t="s">
        <v>14</v>
      </c>
      <c r="D64" s="7"/>
      <c r="E64" s="4" t="str">
        <f>IF('[1]Test Summary Report'!D23="Đạt","Đạt","Không đạt")</f>
        <v>Đạt</v>
      </c>
      <c r="F64" s="7"/>
    </row>
  </sheetData>
  <mergeCells count="10">
    <mergeCell ref="A43:F43"/>
    <mergeCell ref="A50:F50"/>
    <mergeCell ref="A56:F56"/>
    <mergeCell ref="A61:F61"/>
    <mergeCell ref="A1:F1"/>
    <mergeCell ref="A7:F7"/>
    <mergeCell ref="A10:F10"/>
    <mergeCell ref="A16:F16"/>
    <mergeCell ref="A28:F28"/>
    <mergeCell ref="A35:F35"/>
  </mergeCells>
  <conditionalFormatting sqref="E7:E64">
    <cfRule type="cellIs" dxfId="1" priority="1" operator="equal">
      <formula>"Không đạt"</formula>
    </cfRule>
    <cfRule type="cellIs" dxfId="0" priority="2" operator="equal">
      <formula>"Đạt"</formula>
    </cfRule>
  </conditionalFormatting>
  <dataValidations count="1">
    <dataValidation type="list" allowBlank="1" sqref="E7:E64" xr:uid="{36C900D8-FA1F-4737-A5E0-420C174AA09A}">
      <formula1>"Đạt,Không đạt,Chưa kiểm tra,N/A"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Thủy Thanh</dc:creator>
  <cp:lastModifiedBy>Thủy Thanh</cp:lastModifiedBy>
  <dcterms:created xsi:type="dcterms:W3CDTF">2026-10-24T15:18:18Z</dcterms:created>
  <dcterms:modified xsi:type="dcterms:W3CDTF">2026-10-24T15:18:58Z</dcterms:modified>
</cp:coreProperties>
</file>