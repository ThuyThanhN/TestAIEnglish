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TestAIEnglish1\"/>
    </mc:Choice>
  </mc:AlternateContent>
  <xr:revisionPtr revIDLastSave="0" documentId="13_ncr:1_{FD5E7596-9D19-4E43-BF75-45262E21A44D}" xr6:coauthVersionLast="47" xr6:coauthVersionMax="47" xr10:uidLastSave="{00000000-0000-0000-0000-000000000000}"/>
  <bookViews>
    <workbookView xWindow="-120" yWindow="-120" windowWidth="20730" windowHeight="11160" xr2:uid="{3188B46E-E3E3-4103-BE51-478214FFFD2E}"/>
  </bookViews>
  <sheets>
    <sheet name="Test Summary Report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1" l="1"/>
  <c r="B32" i="1"/>
  <c r="B31" i="1"/>
  <c r="B30" i="1"/>
  <c r="B34" i="1" s="1"/>
  <c r="C26" i="1"/>
  <c r="D26" i="1" s="1"/>
  <c r="E19" i="1"/>
  <c r="D19" i="1"/>
  <c r="C19" i="1"/>
  <c r="F18" i="1"/>
  <c r="B18" i="1"/>
  <c r="F17" i="1"/>
  <c r="B17" i="1"/>
  <c r="F16" i="1"/>
  <c r="C25" i="1" s="1"/>
  <c r="D25" i="1" s="1"/>
  <c r="B16" i="1"/>
  <c r="B19" i="1" s="1"/>
  <c r="G12" i="1"/>
  <c r="F12" i="1"/>
  <c r="E12" i="1"/>
  <c r="C24" i="1" s="1"/>
  <c r="D24" i="1" s="1"/>
  <c r="D12" i="1"/>
  <c r="C12" i="1"/>
  <c r="H11" i="1"/>
  <c r="B11" i="1"/>
  <c r="B10" i="1"/>
  <c r="H10" i="1" s="1"/>
  <c r="H9" i="1"/>
  <c r="B9" i="1"/>
  <c r="B8" i="1"/>
  <c r="H8" i="1" s="1"/>
  <c r="B12" i="1" l="1"/>
  <c r="H12" i="1" s="1"/>
  <c r="C23" i="1" s="1"/>
  <c r="D23" i="1" s="1"/>
  <c r="F19" i="1"/>
</calcChain>
</file>

<file path=xl/sharedStrings.xml><?xml version="1.0" encoding="utf-8"?>
<sst xmlns="http://schemas.openxmlformats.org/spreadsheetml/2006/main" count="51" uniqueCount="42">
  <si>
    <t>TEST SUMMARY REPORT</t>
  </si>
  <si>
    <t>Dự án</t>
  </si>
  <si>
    <t>AI-Based English Grammar and Writing Improvement Tool</t>
  </si>
  <si>
    <t>Tester</t>
  </si>
  <si>
    <t>Nguyễn Thanh Thủy</t>
  </si>
  <si>
    <t>Ngày lập báo cáo</t>
  </si>
  <si>
    <t>Module</t>
  </si>
  <si>
    <t>Tổng</t>
  </si>
  <si>
    <t>Passed</t>
  </si>
  <si>
    <t>Failed</t>
  </si>
  <si>
    <t>Untested</t>
  </si>
  <si>
    <t>Blocked</t>
  </si>
  <si>
    <t>Skipped</t>
  </si>
  <si>
    <t>Tỷ lệ Passed</t>
  </si>
  <si>
    <t>Text Input</t>
  </si>
  <si>
    <t>Grammar Check</t>
  </si>
  <si>
    <t>AI Rewrite</t>
  </si>
  <si>
    <t>Vocab Lookup</t>
  </si>
  <si>
    <t>Tổng cộng</t>
  </si>
  <si>
    <t>Kết quả theo mức ưu tiên</t>
  </si>
  <si>
    <t>Priority</t>
  </si>
  <si>
    <t>Chưa Passed</t>
  </si>
  <si>
    <t>High</t>
  </si>
  <si>
    <t>Medium</t>
  </si>
  <si>
    <t>Low</t>
  </si>
  <si>
    <t>Đối chiếu tiêu chí kết thúc (theo Test Plan)</t>
  </si>
  <si>
    <t>Tiêu chí</t>
  </si>
  <si>
    <t>Mục tiêu</t>
  </si>
  <si>
    <t>Thực tế</t>
  </si>
  <si>
    <t>Kết quả</t>
  </si>
  <si>
    <t>≥ 95%</t>
  </si>
  <si>
    <t>Số case Untested</t>
  </si>
  <si>
    <t>0</t>
  </si>
  <si>
    <t>Số case ưu tiên High chưa Passed</t>
  </si>
  <si>
    <t>Số lỗi Critical/Major còn tồn tại</t>
  </si>
  <si>
    <t>Thống kê lỗi theo mức độ nghiêm trọng</t>
  </si>
  <si>
    <t>Mức độ</t>
  </si>
  <si>
    <t>Số lỗi</t>
  </si>
  <si>
    <t>Critical</t>
  </si>
  <si>
    <t>Major</t>
  </si>
  <si>
    <t>Minor</t>
  </si>
  <si>
    <t>Trivial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</si>
</sst>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00206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11"/>
      <color rgb="FFFFFFFF"/>
      <name val="Tahoma"/>
      <family val="2"/>
    </font>
    <font>
      <b/>
      <sz val="12"/>
      <color rgb="FF00206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DBCB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QA_Documents_v3.xlsx" TargetMode="External"/><Relationship Id="rId1" Type="http://schemas.openxmlformats.org/officeDocument/2006/relationships/externalLinkPath" Target="file:///C:\Users\DELL\Downloads\QA_Document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 Summary Report"/>
      <sheetName val="Test Checklist"/>
      <sheetName val="Bug Report"/>
    </sheetNames>
    <sheetDataSet>
      <sheetData sheetId="0"/>
      <sheetData sheetId="1"/>
      <sheetData sheetId="2">
        <row r="4">
          <cell r="H4" t="str">
            <v>Major</v>
          </cell>
        </row>
        <row r="5">
          <cell r="H5" t="str">
            <v>Minor</v>
          </cell>
        </row>
        <row r="6">
          <cell r="H6" t="str">
            <v>Major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4FE7-6471-4781-BF12-B9A785F1C892}">
  <dimension ref="A1:H41"/>
  <sheetViews>
    <sheetView tabSelected="1" workbookViewId="0">
      <selection activeCell="L9" sqref="L9"/>
    </sheetView>
  </sheetViews>
  <sheetFormatPr defaultColWidth="8.7109375" defaultRowHeight="15" x14ac:dyDescent="0.25"/>
  <cols>
    <col min="1" max="1" width="34" customWidth="1"/>
    <col min="2" max="7" width="12" customWidth="1"/>
    <col min="8" max="8" width="16" customWidth="1"/>
  </cols>
  <sheetData>
    <row r="1" spans="1:8" ht="27.7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ht="15" customHeight="1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spans="1:8" ht="15" customHeight="1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spans="1:8" ht="15" customHeight="1" x14ac:dyDescent="0.25">
      <c r="A5" s="2" t="s">
        <v>5</v>
      </c>
      <c r="B5" s="4">
        <v>46320</v>
      </c>
      <c r="C5" s="3"/>
      <c r="D5" s="3"/>
      <c r="E5" s="3"/>
      <c r="F5" s="3"/>
      <c r="G5" s="3"/>
      <c r="H5" s="3"/>
    </row>
    <row r="7" spans="1:8" ht="24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x14ac:dyDescent="0.25">
      <c r="A8" s="6" t="s">
        <v>14</v>
      </c>
      <c r="B8" s="7">
        <f>SUM(C8:G8)</f>
        <v>37</v>
      </c>
      <c r="C8" s="7">
        <v>36</v>
      </c>
      <c r="D8" s="7">
        <v>1</v>
      </c>
      <c r="E8" s="7">
        <v>0</v>
      </c>
      <c r="F8" s="7">
        <v>0</v>
      </c>
      <c r="G8" s="7">
        <v>0</v>
      </c>
      <c r="H8" s="8">
        <f>IF(B8=0,0,C8/B8)</f>
        <v>0.97297297297297303</v>
      </c>
    </row>
    <row r="9" spans="1:8" x14ac:dyDescent="0.25">
      <c r="A9" s="6" t="s">
        <v>15</v>
      </c>
      <c r="B9" s="7">
        <f>SUM(C9:G9)</f>
        <v>23</v>
      </c>
      <c r="C9" s="7">
        <v>23</v>
      </c>
      <c r="D9" s="7">
        <v>0</v>
      </c>
      <c r="E9" s="7">
        <v>0</v>
      </c>
      <c r="F9" s="7">
        <v>0</v>
      </c>
      <c r="G9" s="7">
        <v>0</v>
      </c>
      <c r="H9" s="8">
        <f>IF(B9=0,0,C9/B9)</f>
        <v>1</v>
      </c>
    </row>
    <row r="10" spans="1:8" x14ac:dyDescent="0.25">
      <c r="A10" s="6" t="s">
        <v>16</v>
      </c>
      <c r="B10" s="7">
        <f>SUM(C10:G10)</f>
        <v>23</v>
      </c>
      <c r="C10" s="7">
        <v>23</v>
      </c>
      <c r="D10" s="7">
        <v>0</v>
      </c>
      <c r="E10" s="7">
        <v>0</v>
      </c>
      <c r="F10" s="7">
        <v>0</v>
      </c>
      <c r="G10" s="7">
        <v>0</v>
      </c>
      <c r="H10" s="8">
        <f>IF(B10=0,0,C10/B10)</f>
        <v>1</v>
      </c>
    </row>
    <row r="11" spans="1:8" x14ac:dyDescent="0.25">
      <c r="A11" s="6" t="s">
        <v>17</v>
      </c>
      <c r="B11" s="7">
        <f>SUM(C11:G11)</f>
        <v>26</v>
      </c>
      <c r="C11" s="7">
        <v>24</v>
      </c>
      <c r="D11" s="7">
        <v>2</v>
      </c>
      <c r="E11" s="7">
        <v>0</v>
      </c>
      <c r="F11" s="7">
        <v>0</v>
      </c>
      <c r="G11" s="7">
        <v>0</v>
      </c>
      <c r="H11" s="8">
        <f>IF(B11=0,0,C11/B11)</f>
        <v>0.92307692307692313</v>
      </c>
    </row>
    <row r="12" spans="1:8" x14ac:dyDescent="0.25">
      <c r="A12" s="9" t="s">
        <v>18</v>
      </c>
      <c r="B12" s="10">
        <f t="shared" ref="B12:G12" si="0">SUM(B8:B11)</f>
        <v>109</v>
      </c>
      <c r="C12" s="10">
        <f t="shared" si="0"/>
        <v>106</v>
      </c>
      <c r="D12" s="10">
        <f t="shared" si="0"/>
        <v>3</v>
      </c>
      <c r="E12" s="10">
        <f t="shared" si="0"/>
        <v>0</v>
      </c>
      <c r="F12" s="10">
        <f t="shared" si="0"/>
        <v>0</v>
      </c>
      <c r="G12" s="10">
        <f t="shared" si="0"/>
        <v>0</v>
      </c>
      <c r="H12" s="11">
        <f>IF(B12=0,0,C12/B12)</f>
        <v>0.97247706422018354</v>
      </c>
    </row>
    <row r="14" spans="1:8" ht="15.75" x14ac:dyDescent="0.25">
      <c r="A14" s="12" t="s">
        <v>19</v>
      </c>
    </row>
    <row r="15" spans="1:8" ht="31.5" customHeight="1" x14ac:dyDescent="0.25">
      <c r="A15" s="5" t="s">
        <v>20</v>
      </c>
      <c r="B15" s="5" t="s">
        <v>7</v>
      </c>
      <c r="C15" s="5" t="s">
        <v>8</v>
      </c>
      <c r="D15" s="5" t="s">
        <v>9</v>
      </c>
      <c r="E15" s="5" t="s">
        <v>10</v>
      </c>
      <c r="F15" s="5" t="s">
        <v>21</v>
      </c>
    </row>
    <row r="16" spans="1:8" x14ac:dyDescent="0.25">
      <c r="A16" s="6" t="s">
        <v>22</v>
      </c>
      <c r="B16" s="7">
        <f>SUM(C16:E16)</f>
        <v>88</v>
      </c>
      <c r="C16" s="7">
        <v>85</v>
      </c>
      <c r="D16" s="7">
        <v>3</v>
      </c>
      <c r="E16" s="7">
        <v>0</v>
      </c>
      <c r="F16" s="7">
        <f>D16+E16</f>
        <v>3</v>
      </c>
    </row>
    <row r="17" spans="1:8" x14ac:dyDescent="0.25">
      <c r="A17" s="6" t="s">
        <v>23</v>
      </c>
      <c r="B17" s="7">
        <f>SUM(C17:E17)</f>
        <v>21</v>
      </c>
      <c r="C17" s="7">
        <v>21</v>
      </c>
      <c r="D17" s="7">
        <v>0</v>
      </c>
      <c r="E17" s="7">
        <v>0</v>
      </c>
      <c r="F17" s="7">
        <f>D17+E17</f>
        <v>0</v>
      </c>
    </row>
    <row r="18" spans="1:8" x14ac:dyDescent="0.25">
      <c r="A18" s="6" t="s">
        <v>24</v>
      </c>
      <c r="B18" s="7">
        <f>SUM(C18:E18)</f>
        <v>0</v>
      </c>
      <c r="C18" s="7">
        <v>0</v>
      </c>
      <c r="D18" s="7">
        <v>0</v>
      </c>
      <c r="E18" s="7">
        <v>0</v>
      </c>
      <c r="F18" s="7">
        <f>D18+E18</f>
        <v>0</v>
      </c>
    </row>
    <row r="19" spans="1:8" x14ac:dyDescent="0.25">
      <c r="A19" s="9" t="s">
        <v>18</v>
      </c>
      <c r="B19" s="10">
        <f>SUM(B16:B18)</f>
        <v>109</v>
      </c>
      <c r="C19" s="10">
        <f>SUM(C16:C18)</f>
        <v>106</v>
      </c>
      <c r="D19" s="10">
        <f>SUM(D16:D18)</f>
        <v>3</v>
      </c>
      <c r="E19" s="10">
        <f>SUM(E16:E18)</f>
        <v>0</v>
      </c>
      <c r="F19" s="10">
        <f>SUM(F16:F18)</f>
        <v>3</v>
      </c>
    </row>
    <row r="21" spans="1:8" ht="15.75" x14ac:dyDescent="0.25">
      <c r="A21" s="12" t="s">
        <v>25</v>
      </c>
    </row>
    <row r="22" spans="1:8" ht="24" customHeight="1" x14ac:dyDescent="0.25">
      <c r="A22" s="5" t="s">
        <v>26</v>
      </c>
      <c r="B22" s="5" t="s">
        <v>27</v>
      </c>
      <c r="C22" s="5" t="s">
        <v>28</v>
      </c>
      <c r="D22" s="13" t="s">
        <v>29</v>
      </c>
      <c r="E22" s="13"/>
      <c r="F22" s="13"/>
      <c r="G22" s="13"/>
      <c r="H22" s="13"/>
    </row>
    <row r="23" spans="1:8" x14ac:dyDescent="0.25">
      <c r="A23" s="6" t="s">
        <v>13</v>
      </c>
      <c r="B23" s="7" t="s">
        <v>30</v>
      </c>
      <c r="C23" s="8">
        <f>H12</f>
        <v>0.97247706422018354</v>
      </c>
      <c r="D23" s="14" t="str">
        <f>IF(C23&gt;=0.95,"Đạt","Chưa đạt")</f>
        <v>Đạt</v>
      </c>
      <c r="E23" s="14"/>
      <c r="F23" s="14"/>
      <c r="G23" s="14"/>
      <c r="H23" s="14"/>
    </row>
    <row r="24" spans="1:8" x14ac:dyDescent="0.25">
      <c r="A24" s="6" t="s">
        <v>31</v>
      </c>
      <c r="B24" s="7" t="s">
        <v>32</v>
      </c>
      <c r="C24" s="15">
        <f>E12</f>
        <v>0</v>
      </c>
      <c r="D24" s="14" t="str">
        <f>IF(C24=0,"Đạt","Chưa đạt")</f>
        <v>Đạt</v>
      </c>
      <c r="E24" s="14"/>
      <c r="F24" s="14"/>
      <c r="G24" s="14"/>
      <c r="H24" s="14"/>
    </row>
    <row r="25" spans="1:8" x14ac:dyDescent="0.25">
      <c r="A25" s="6" t="s">
        <v>33</v>
      </c>
      <c r="B25" s="7" t="s">
        <v>32</v>
      </c>
      <c r="C25" s="15">
        <f>F16</f>
        <v>3</v>
      </c>
      <c r="D25" s="14" t="str">
        <f>IF(C25=0,"Đạt","Chưa đạt")</f>
        <v>Chưa đạt</v>
      </c>
      <c r="E25" s="14"/>
      <c r="F25" s="14"/>
      <c r="G25" s="14"/>
      <c r="H25" s="14"/>
    </row>
    <row r="26" spans="1:8" x14ac:dyDescent="0.25">
      <c r="A26" s="6" t="s">
        <v>34</v>
      </c>
      <c r="B26" s="7" t="s">
        <v>32</v>
      </c>
      <c r="C26" s="15">
        <f>COUNTIF('[1]Bug Report'!$H$4:$H$199,"Critical")+COUNTIF('[1]Bug Report'!$H$4:$H$199,"Major")</f>
        <v>2</v>
      </c>
      <c r="D26" s="14" t="str">
        <f>IF(C26=0,"Đạt","Chưa đạt")</f>
        <v>Chưa đạt</v>
      </c>
      <c r="E26" s="14"/>
      <c r="F26" s="14"/>
      <c r="G26" s="14"/>
      <c r="H26" s="14"/>
    </row>
    <row r="28" spans="1:8" ht="15.75" x14ac:dyDescent="0.25">
      <c r="A28" s="12" t="s">
        <v>35</v>
      </c>
    </row>
    <row r="29" spans="1:8" ht="24" customHeight="1" x14ac:dyDescent="0.25">
      <c r="A29" s="5" t="s">
        <v>36</v>
      </c>
      <c r="B29" s="5" t="s">
        <v>37</v>
      </c>
    </row>
    <row r="30" spans="1:8" x14ac:dyDescent="0.25">
      <c r="A30" s="6" t="s">
        <v>38</v>
      </c>
      <c r="B30" s="7">
        <f>COUNTIF('[1]Bug Report'!$H$4:$H$199,A30)</f>
        <v>0</v>
      </c>
    </row>
    <row r="31" spans="1:8" x14ac:dyDescent="0.25">
      <c r="A31" s="6" t="s">
        <v>39</v>
      </c>
      <c r="B31" s="7">
        <f>COUNTIF('[1]Bug Report'!$H$4:$H$199,A31)</f>
        <v>2</v>
      </c>
    </row>
    <row r="32" spans="1:8" x14ac:dyDescent="0.25">
      <c r="A32" s="6" t="s">
        <v>40</v>
      </c>
      <c r="B32" s="7">
        <f>COUNTIF('[1]Bug Report'!$H$4:$H$199,A32)</f>
        <v>1</v>
      </c>
    </row>
    <row r="33" spans="1:2" x14ac:dyDescent="0.25">
      <c r="A33" s="6" t="s">
        <v>41</v>
      </c>
      <c r="B33" s="7">
        <f>COUNTIF('[1]Bug Report'!$H$4:$H$199,A33)</f>
        <v>0</v>
      </c>
    </row>
    <row r="34" spans="1:2" x14ac:dyDescent="0.25">
      <c r="A34" s="9" t="s">
        <v>18</v>
      </c>
      <c r="B34" s="10">
        <f>SUM(B30:B33)</f>
        <v>3</v>
      </c>
    </row>
    <row r="36" spans="1:2" ht="15.75" x14ac:dyDescent="0.25">
      <c r="A36" s="12"/>
    </row>
    <row r="37" spans="1:2" ht="15.75" x14ac:dyDescent="0.25">
      <c r="A37" s="12"/>
    </row>
    <row r="39" spans="1:2" ht="15.75" x14ac:dyDescent="0.25">
      <c r="A39" s="12"/>
    </row>
    <row r="40" spans="1:2" ht="15.75" x14ac:dyDescent="0.25">
      <c r="A40" s="12"/>
    </row>
    <row r="41" spans="1:2" ht="15.75" x14ac:dyDescent="0.25">
      <c r="A41" s="12"/>
    </row>
  </sheetData>
  <mergeCells count="9">
    <mergeCell ref="D24:H24"/>
    <mergeCell ref="D25:H25"/>
    <mergeCell ref="D26:H26"/>
    <mergeCell ref="A1:H1"/>
    <mergeCell ref="B3:H3"/>
    <mergeCell ref="B4:H4"/>
    <mergeCell ref="B5:H5"/>
    <mergeCell ref="D22:H22"/>
    <mergeCell ref="D23:H23"/>
  </mergeCells>
  <conditionalFormatting sqref="D23:D26">
    <cfRule type="cellIs" dxfId="1" priority="1" operator="equal">
      <formula>"Chưa đạt"</formula>
    </cfRule>
    <cfRule type="cellIs" dxfId="0" priority="2" operator="equal">
      <formula>"Đạt"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Thủy Thanh</dc:creator>
  <cp:lastModifiedBy>Thủy Thanh</cp:lastModifiedBy>
  <dcterms:created xsi:type="dcterms:W3CDTF">2026-10-24T15:12:17Z</dcterms:created>
  <dcterms:modified xsi:type="dcterms:W3CDTF">2026-10-24T15:18:09Z</dcterms:modified>
</cp:coreProperties>
</file>